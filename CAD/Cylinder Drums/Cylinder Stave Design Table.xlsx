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ocuments\CAD\Wood Stave Instruments\Cylinder Drums\"/>
    </mc:Choice>
  </mc:AlternateContent>
  <bookViews>
    <workbookView xWindow="75" yWindow="75" windowWidth="6135" windowHeight="6735" activeTab="1"/>
  </bookViews>
  <sheets>
    <sheet name="Sheet1" sheetId="1" r:id="rId1"/>
    <sheet name="Cylinder" sheetId="3" r:id="rId2"/>
    <sheet name="Method" sheetId="2" r:id="rId3"/>
  </sheets>
  <definedNames>
    <definedName name="Family">Sheet1!$A$2</definedName>
    <definedName name="_xlnm.Print_Area" localSheetId="1">Cylinder!$15:$23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0" i="3" l="1"/>
  <c r="AF11" i="3"/>
  <c r="AF13" i="3"/>
  <c r="AF18" i="3"/>
  <c r="AF33" i="3"/>
  <c r="AF34" i="3"/>
  <c r="AE10" i="3"/>
  <c r="AE11" i="3"/>
  <c r="AE13" i="3"/>
  <c r="AE18" i="3"/>
  <c r="AE33" i="3"/>
  <c r="AE34" i="3"/>
  <c r="AD10" i="3"/>
  <c r="AD11" i="3"/>
  <c r="AD13" i="3"/>
  <c r="AD18" i="3"/>
  <c r="AD33" i="3"/>
  <c r="AD34" i="3"/>
  <c r="AC10" i="3"/>
  <c r="AC11" i="3"/>
  <c r="AC13" i="3"/>
  <c r="AC18" i="3"/>
  <c r="AC33" i="3"/>
  <c r="AC34" i="3"/>
  <c r="AB10" i="3"/>
  <c r="AB11" i="3"/>
  <c r="AB13" i="3"/>
  <c r="AB18" i="3"/>
  <c r="AB33" i="3"/>
  <c r="AB34" i="3"/>
  <c r="AA10" i="3"/>
  <c r="AA11" i="3"/>
  <c r="AA13" i="3"/>
  <c r="AA18" i="3"/>
  <c r="AA33" i="3"/>
  <c r="AA34" i="3"/>
  <c r="Z10" i="3"/>
  <c r="Z11" i="3"/>
  <c r="Z13" i="3"/>
  <c r="Z18" i="3"/>
  <c r="Z33" i="3"/>
  <c r="Z34" i="3"/>
  <c r="Y10" i="3"/>
  <c r="Y11" i="3"/>
  <c r="Y13" i="3"/>
  <c r="Y18" i="3"/>
  <c r="Y33" i="3"/>
  <c r="Y34" i="3"/>
  <c r="X10" i="3"/>
  <c r="X11" i="3"/>
  <c r="X13" i="3"/>
  <c r="X18" i="3"/>
  <c r="X33" i="3"/>
  <c r="X34" i="3"/>
  <c r="W10" i="3"/>
  <c r="W11" i="3"/>
  <c r="W13" i="3"/>
  <c r="W18" i="3"/>
  <c r="W33" i="3"/>
  <c r="W34" i="3"/>
  <c r="V10" i="3"/>
  <c r="V11" i="3"/>
  <c r="V13" i="3"/>
  <c r="V18" i="3"/>
  <c r="V33" i="3"/>
  <c r="V34" i="3"/>
  <c r="U10" i="3"/>
  <c r="U11" i="3"/>
  <c r="U13" i="3"/>
  <c r="U18" i="3"/>
  <c r="U33" i="3"/>
  <c r="U34" i="3"/>
  <c r="T10" i="3"/>
  <c r="T11" i="3"/>
  <c r="T13" i="3"/>
  <c r="T18" i="3"/>
  <c r="T33" i="3"/>
  <c r="T34" i="3"/>
  <c r="S10" i="3"/>
  <c r="S11" i="3"/>
  <c r="S13" i="3"/>
  <c r="S18" i="3"/>
  <c r="S33" i="3"/>
  <c r="S34" i="3"/>
  <c r="R10" i="3"/>
  <c r="R11" i="3"/>
  <c r="R13" i="3"/>
  <c r="R18" i="3"/>
  <c r="R33" i="3"/>
  <c r="R34" i="3"/>
  <c r="Q10" i="3"/>
  <c r="Q11" i="3"/>
  <c r="Q13" i="3"/>
  <c r="Q18" i="3"/>
  <c r="Q33" i="3"/>
  <c r="Q34" i="3"/>
  <c r="P10" i="3"/>
  <c r="P11" i="3"/>
  <c r="P13" i="3"/>
  <c r="P18" i="3"/>
  <c r="P33" i="3"/>
  <c r="P34" i="3"/>
  <c r="O10" i="3"/>
  <c r="O11" i="3"/>
  <c r="O13" i="3"/>
  <c r="O18" i="3"/>
  <c r="O33" i="3"/>
  <c r="O34" i="3"/>
  <c r="N10" i="3"/>
  <c r="N11" i="3"/>
  <c r="N13" i="3"/>
  <c r="N18" i="3"/>
  <c r="N33" i="3"/>
  <c r="N34" i="3"/>
  <c r="M10" i="3"/>
  <c r="M11" i="3"/>
  <c r="M13" i="3"/>
  <c r="M18" i="3"/>
  <c r="M33" i="3"/>
  <c r="M34" i="3"/>
  <c r="L10" i="3"/>
  <c r="L11" i="3"/>
  <c r="L13" i="3"/>
  <c r="L18" i="3"/>
  <c r="L33" i="3"/>
  <c r="L34" i="3"/>
  <c r="K10" i="3"/>
  <c r="K11" i="3"/>
  <c r="K13" i="3"/>
  <c r="K18" i="3"/>
  <c r="K33" i="3"/>
  <c r="K34" i="3"/>
  <c r="J10" i="3"/>
  <c r="J11" i="3"/>
  <c r="J13" i="3"/>
  <c r="J18" i="3"/>
  <c r="J33" i="3"/>
  <c r="J34" i="3"/>
  <c r="I10" i="3"/>
  <c r="I11" i="3"/>
  <c r="I13" i="3"/>
  <c r="I18" i="3"/>
  <c r="I33" i="3"/>
  <c r="I34" i="3"/>
  <c r="H10" i="3"/>
  <c r="H11" i="3"/>
  <c r="H13" i="3"/>
  <c r="H18" i="3"/>
  <c r="H33" i="3"/>
  <c r="H34" i="3"/>
  <c r="G10" i="3"/>
  <c r="G11" i="3"/>
  <c r="G13" i="3"/>
  <c r="G18" i="3"/>
  <c r="G33" i="3"/>
  <c r="G34" i="3"/>
  <c r="F10" i="3"/>
  <c r="F11" i="3"/>
  <c r="F13" i="3"/>
  <c r="F18" i="3"/>
  <c r="F33" i="3"/>
  <c r="F34" i="3"/>
  <c r="E10" i="3"/>
  <c r="E11" i="3"/>
  <c r="E13" i="3"/>
  <c r="E18" i="3"/>
  <c r="E33" i="3"/>
  <c r="E34" i="3"/>
  <c r="D10" i="3"/>
  <c r="D11" i="3"/>
  <c r="D13" i="3"/>
  <c r="D18" i="3"/>
  <c r="D33" i="3"/>
  <c r="D34" i="3"/>
  <c r="C10" i="3"/>
  <c r="C11" i="3"/>
  <c r="C13" i="3"/>
  <c r="C18" i="3"/>
  <c r="C33" i="3"/>
  <c r="C34" i="3"/>
  <c r="B10" i="3"/>
  <c r="B11" i="3"/>
  <c r="B13" i="3"/>
  <c r="B18" i="3"/>
  <c r="B33" i="3"/>
  <c r="B34" i="3"/>
  <c r="AF9" i="3"/>
  <c r="AF8" i="3"/>
  <c r="AF30" i="3"/>
  <c r="AF31" i="3"/>
  <c r="AE9" i="3"/>
  <c r="AE8" i="3"/>
  <c r="AE30" i="3"/>
  <c r="AE31" i="3"/>
  <c r="AD9" i="3"/>
  <c r="AD8" i="3"/>
  <c r="AD30" i="3"/>
  <c r="AD31" i="3"/>
  <c r="AC9" i="3"/>
  <c r="AC8" i="3"/>
  <c r="AC30" i="3"/>
  <c r="AC31" i="3"/>
  <c r="AB9" i="3"/>
  <c r="AB8" i="3"/>
  <c r="AB30" i="3"/>
  <c r="AB31" i="3"/>
  <c r="AA9" i="3"/>
  <c r="AA8" i="3"/>
  <c r="AA30" i="3"/>
  <c r="AA31" i="3"/>
  <c r="Z9" i="3"/>
  <c r="Z8" i="3"/>
  <c r="Z30" i="3"/>
  <c r="Z31" i="3"/>
  <c r="Y9" i="3"/>
  <c r="Y8" i="3"/>
  <c r="Y30" i="3"/>
  <c r="Y31" i="3"/>
  <c r="X9" i="3"/>
  <c r="X8" i="3"/>
  <c r="X30" i="3"/>
  <c r="X31" i="3"/>
  <c r="W9" i="3"/>
  <c r="W8" i="3"/>
  <c r="W30" i="3"/>
  <c r="W31" i="3"/>
  <c r="V9" i="3"/>
  <c r="V8" i="3"/>
  <c r="V30" i="3"/>
  <c r="V31" i="3"/>
  <c r="U9" i="3"/>
  <c r="U8" i="3"/>
  <c r="U30" i="3"/>
  <c r="U31" i="3"/>
  <c r="T9" i="3"/>
  <c r="T8" i="3"/>
  <c r="T30" i="3"/>
  <c r="T31" i="3"/>
  <c r="S9" i="3"/>
  <c r="S8" i="3"/>
  <c r="S30" i="3"/>
  <c r="S31" i="3"/>
  <c r="R9" i="3"/>
  <c r="R8" i="3"/>
  <c r="R30" i="3"/>
  <c r="R31" i="3"/>
  <c r="Q9" i="3"/>
  <c r="Q8" i="3"/>
  <c r="Q30" i="3"/>
  <c r="Q31" i="3"/>
  <c r="P9" i="3"/>
  <c r="P8" i="3"/>
  <c r="P30" i="3"/>
  <c r="P31" i="3"/>
  <c r="O9" i="3"/>
  <c r="O8" i="3"/>
  <c r="O30" i="3"/>
  <c r="O31" i="3"/>
  <c r="N9" i="3"/>
  <c r="N8" i="3"/>
  <c r="N30" i="3"/>
  <c r="N31" i="3"/>
  <c r="M9" i="3"/>
  <c r="M8" i="3"/>
  <c r="M30" i="3"/>
  <c r="M31" i="3"/>
  <c r="L9" i="3"/>
  <c r="L8" i="3"/>
  <c r="L30" i="3"/>
  <c r="L31" i="3"/>
  <c r="K9" i="3"/>
  <c r="K8" i="3"/>
  <c r="K30" i="3"/>
  <c r="K31" i="3"/>
  <c r="J9" i="3"/>
  <c r="J8" i="3"/>
  <c r="J30" i="3"/>
  <c r="J31" i="3"/>
  <c r="I9" i="3"/>
  <c r="I8" i="3"/>
  <c r="I30" i="3"/>
  <c r="I31" i="3"/>
  <c r="H9" i="3"/>
  <c r="H8" i="3"/>
  <c r="H30" i="3"/>
  <c r="H31" i="3"/>
  <c r="G9" i="3"/>
  <c r="G8" i="3"/>
  <c r="G30" i="3"/>
  <c r="G31" i="3"/>
  <c r="F9" i="3"/>
  <c r="F8" i="3"/>
  <c r="F30" i="3"/>
  <c r="F31" i="3"/>
  <c r="E9" i="3"/>
  <c r="E8" i="3"/>
  <c r="E30" i="3"/>
  <c r="E31" i="3"/>
  <c r="D9" i="3"/>
  <c r="D8" i="3"/>
  <c r="D30" i="3"/>
  <c r="D31" i="3"/>
  <c r="C9" i="3"/>
  <c r="C8" i="3"/>
  <c r="C30" i="3"/>
  <c r="C31" i="3"/>
  <c r="B9" i="3"/>
  <c r="B8" i="3"/>
  <c r="B30" i="3"/>
  <c r="B31" i="3"/>
  <c r="J1" i="3"/>
  <c r="AF12" i="3"/>
  <c r="AF22" i="3"/>
  <c r="AE12" i="3"/>
  <c r="AE22" i="3"/>
  <c r="AD12" i="3"/>
  <c r="AD22" i="3"/>
  <c r="AC12" i="3"/>
  <c r="AC22" i="3"/>
  <c r="AB12" i="3"/>
  <c r="AB22" i="3"/>
  <c r="AA12" i="3"/>
  <c r="AA22" i="3"/>
  <c r="Z12" i="3"/>
  <c r="Z22" i="3"/>
  <c r="Y12" i="3"/>
  <c r="Y22" i="3"/>
  <c r="X12" i="3"/>
  <c r="X22" i="3"/>
  <c r="W12" i="3"/>
  <c r="W22" i="3"/>
  <c r="V12" i="3"/>
  <c r="V22" i="3"/>
  <c r="U12" i="3"/>
  <c r="U22" i="3"/>
  <c r="T12" i="3"/>
  <c r="T22" i="3"/>
  <c r="S12" i="3"/>
  <c r="S22" i="3"/>
  <c r="R12" i="3"/>
  <c r="R22" i="3"/>
  <c r="Q12" i="3"/>
  <c r="Q22" i="3"/>
  <c r="P12" i="3"/>
  <c r="P22" i="3"/>
  <c r="O12" i="3"/>
  <c r="O22" i="3"/>
  <c r="N12" i="3"/>
  <c r="N22" i="3"/>
  <c r="M12" i="3"/>
  <c r="M22" i="3"/>
  <c r="L12" i="3"/>
  <c r="L22" i="3"/>
  <c r="K12" i="3"/>
  <c r="K22" i="3"/>
  <c r="J12" i="3"/>
  <c r="J22" i="3"/>
  <c r="I12" i="3"/>
  <c r="I22" i="3"/>
  <c r="H12" i="3"/>
  <c r="H22" i="3"/>
  <c r="G12" i="3"/>
  <c r="G22" i="3"/>
  <c r="F12" i="3"/>
  <c r="F22" i="3"/>
  <c r="E12" i="3"/>
  <c r="E22" i="3"/>
  <c r="D12" i="3"/>
  <c r="D22" i="3"/>
  <c r="C12" i="3"/>
  <c r="C22" i="3"/>
  <c r="B12" i="3"/>
  <c r="B22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F2" i="3"/>
  <c r="K1" i="3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<sst xmlns="http://schemas.openxmlformats.org/spreadsheetml/2006/main" count="179" uniqueCount="155">
  <si>
    <t>Design Table for: Cylinder Stave</t>
  </si>
  <si>
    <t>Theta@Sketch1</t>
  </si>
  <si>
    <t>t@Sketch1</t>
  </si>
  <si>
    <t>R@Sketch1</t>
  </si>
  <si>
    <t>ISW@Sketch1</t>
  </si>
  <si>
    <t>D1@Cut To Length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</si>
  <si>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</si>
  <si>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</si>
  <si>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</si>
  <si>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</si>
  <si>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</si>
  <si>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</si>
  <si>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</si>
  <si>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</si>
  <si>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</si>
  <si>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</si>
  <si>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08</t>
  </si>
  <si>
    <t>Outside</t>
  </si>
  <si>
    <t>Inside</t>
  </si>
  <si>
    <t>Bottom</t>
  </si>
  <si>
    <t>Top</t>
  </si>
  <si>
    <t>Left</t>
  </si>
  <si>
    <t>Right</t>
  </si>
  <si>
    <t>Radial Arm Saw</t>
  </si>
  <si>
    <t>35.5 Miter: Tops of B1-B3</t>
  </si>
  <si>
    <t>Router</t>
  </si>
  <si>
    <t>Flute: A1-A3</t>
  </si>
  <si>
    <t>45 Miter: A1-A3</t>
  </si>
  <si>
    <t>1/4" Bit</t>
  </si>
  <si>
    <t>Drill Press</t>
  </si>
  <si>
    <t>Dowel Bore w/ 9.5 degree Jig: B1-B3</t>
  </si>
  <si>
    <t>Dowel Bore into end grain: A1-A3</t>
  </si>
  <si>
    <t>Xcut: Tops and Bottoms of B1-B3</t>
  </si>
  <si>
    <t>A</t>
  </si>
  <si>
    <t>90 degree Xcut</t>
  </si>
  <si>
    <t>Xcut: Tops of A1-A3</t>
  </si>
  <si>
    <t>B</t>
  </si>
  <si>
    <t>30 degree bevel rip</t>
  </si>
  <si>
    <t>Rip: B1-B3</t>
  </si>
  <si>
    <t>Right &amp; Left</t>
  </si>
  <si>
    <t>Rip: A1, A2, A3</t>
  </si>
  <si>
    <t>none</t>
  </si>
  <si>
    <t>A &amp; B</t>
  </si>
  <si>
    <t>Pencil &amp; Tape Measure</t>
  </si>
  <si>
    <t>Stencil</t>
  </si>
  <si>
    <t>Conserve AMAP</t>
  </si>
  <si>
    <t>Lengthwise Straight Edge Rip</t>
  </si>
  <si>
    <t>Face</t>
  </si>
  <si>
    <t>Stave</t>
  </si>
  <si>
    <t>Set Up</t>
  </si>
  <si>
    <t>Tool</t>
  </si>
  <si>
    <t>Step</t>
  </si>
  <si>
    <t>Aspect Ratio (L/OD):</t>
  </si>
  <si>
    <t>Number of Staves:</t>
  </si>
  <si>
    <t>Note: A2 &amp; B1:B3 are oriented with finish side down when looking at stenciled face of board.</t>
  </si>
  <si>
    <t>A3</t>
  </si>
  <si>
    <t>AX</t>
  </si>
  <si>
    <t>A2</t>
  </si>
  <si>
    <t>A2 - Finish Side Down</t>
  </si>
  <si>
    <t>A1</t>
  </si>
  <si>
    <t>Wood Type 2</t>
  </si>
  <si>
    <t>Wood Type 1</t>
  </si>
  <si>
    <t>Stenciled on Face</t>
  </si>
  <si>
    <t>Glue Up:</t>
  </si>
  <si>
    <t>\ A3 /</t>
  </si>
  <si>
    <t>/ A2 \</t>
  </si>
  <si>
    <t>\ A1 /</t>
  </si>
  <si>
    <t>Stenciled on Endgrain</t>
  </si>
  <si>
    <t>Stencil Information</t>
  </si>
  <si>
    <t>Widths for Multiple Boards:</t>
  </si>
  <si>
    <t>Cost of Wood</t>
  </si>
  <si>
    <t>AX Rip (in)</t>
  </si>
  <si>
    <t>A3 Rip - Bottom Side (in)</t>
  </si>
  <si>
    <t>A3 Rip - Finish Side (in)</t>
  </si>
  <si>
    <t>A2 Rip - Bottom Side (in)</t>
  </si>
  <si>
    <t>A2 Rip - Finish Side (in)</t>
  </si>
  <si>
    <t>A1 Rip - Bottom Side (in)</t>
  </si>
  <si>
    <t>A1 Rip - Finish Side (in)</t>
  </si>
  <si>
    <t>OSW - Outer Stave Width (in)</t>
  </si>
  <si>
    <t>ISW - Inner Stave Width (in)</t>
  </si>
  <si>
    <t>r - Inradius (in)</t>
  </si>
  <si>
    <t>R - Circumradius (in)</t>
  </si>
  <si>
    <t>NL - Nominal Length (in)</t>
  </si>
  <si>
    <t>L - Cut To Length (in)</t>
  </si>
  <si>
    <t>OD - Nominal Diameter (in)</t>
  </si>
  <si>
    <t>28 in</t>
  </si>
  <si>
    <t>26 in</t>
  </si>
  <si>
    <t>24 in</t>
  </si>
  <si>
    <t>22 in</t>
  </si>
  <si>
    <t>20 in</t>
  </si>
  <si>
    <t>18 in</t>
  </si>
  <si>
    <t>16 in</t>
  </si>
  <si>
    <t>14 in</t>
  </si>
  <si>
    <t>12 in</t>
  </si>
  <si>
    <t>10 in</t>
  </si>
  <si>
    <t>8 in</t>
  </si>
  <si>
    <t>Dimensions</t>
  </si>
  <si>
    <t>Wood Type 2 ($/in^3)</t>
  </si>
  <si>
    <t>Wood Type 1 ($/in^3):</t>
  </si>
  <si>
    <t xml:space="preserve"> Narrowest Turned Shell OD - ID (in):</t>
  </si>
  <si>
    <t>Extra Length (in):</t>
  </si>
  <si>
    <t>Extra Stave Width (in):</t>
  </si>
  <si>
    <t>Aspect Ratio (NL/OD):</t>
  </si>
  <si>
    <t>Stave Bevel (180/n):</t>
  </si>
  <si>
    <t>Horizontal Kerf (in):</t>
  </si>
  <si>
    <t>Saw Blade Kerf (in):</t>
  </si>
  <si>
    <t>Board Thickness (in):</t>
  </si>
  <si>
    <t>09</t>
  </si>
  <si>
    <t>6 in</t>
  </si>
  <si>
    <t>7 in</t>
  </si>
  <si>
    <t>9 in</t>
  </si>
  <si>
    <t>11 in</t>
  </si>
  <si>
    <t>13 in</t>
  </si>
  <si>
    <t>15 in</t>
  </si>
  <si>
    <t>17 in</t>
  </si>
  <si>
    <t>19 in</t>
  </si>
  <si>
    <t>21 in</t>
  </si>
  <si>
    <t>23 in</t>
  </si>
  <si>
    <t>25 in</t>
  </si>
  <si>
    <t>27 in</t>
  </si>
  <si>
    <t>29 in</t>
  </si>
  <si>
    <t>30 in</t>
  </si>
  <si>
    <t>31 in</t>
  </si>
  <si>
    <t>32 in</t>
  </si>
  <si>
    <t>33 in</t>
  </si>
  <si>
    <t>34 in</t>
  </si>
  <si>
    <t>35 in</t>
  </si>
  <si>
    <t>36 in</t>
  </si>
  <si>
    <r>
      <t>3cuts/stave (90</t>
    </r>
    <r>
      <rPr>
        <b/>
        <sz val="11"/>
        <color theme="1"/>
        <rFont val="Calibri"/>
        <family val="2"/>
      </rPr>
      <t xml:space="preserve">° </t>
    </r>
    <r>
      <rPr>
        <b/>
        <sz val="11"/>
        <color theme="1"/>
        <rFont val="Calibri"/>
        <family val="2"/>
        <scheme val="minor"/>
      </rPr>
      <t>Rip+2Bevel)</t>
    </r>
  </si>
  <si>
    <t>Volume of 3/4 Board Used (in^3)</t>
  </si>
  <si>
    <t>2cuts/stave Economy Bevel Rip (3:</t>
  </si>
  <si>
    <t>Stencil Variations</t>
  </si>
  <si>
    <t>Stencil Alpha</t>
  </si>
  <si>
    <t>Saw Cut Description:</t>
  </si>
  <si>
    <t>90° Rip+2 Bevels</t>
  </si>
  <si>
    <t>Board Type:</t>
  </si>
  <si>
    <t>15</t>
  </si>
  <si>
    <t>13</t>
  </si>
  <si>
    <t>11</t>
  </si>
  <si>
    <t>07</t>
  </si>
  <si>
    <t>06</t>
  </si>
  <si>
    <t>17</t>
  </si>
  <si>
    <t>19</t>
  </si>
  <si>
    <t>21</t>
  </si>
  <si>
    <t>23</t>
  </si>
  <si>
    <t>25</t>
  </si>
  <si>
    <t>27</t>
  </si>
  <si>
    <t>29</t>
  </si>
  <si>
    <t>30</t>
  </si>
  <si>
    <t>31</t>
  </si>
  <si>
    <t>32</t>
  </si>
  <si>
    <t>33</t>
  </si>
  <si>
    <t>34</t>
  </si>
  <si>
    <t>35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</si>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</sst>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0.000"/>
    <numFmt numFmtId="165" formatCode="0.0"/>
    <numFmt numFmtId="166" formatCode="&quot;$&quot;#,##0.00"/>
    <numFmt numFmtId="167" formatCode="0.0000"/>
    <numFmt numFmtId="168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2" fontId="0" fillId="2" borderId="2" xfId="0" applyNumberFormat="1" applyFill="1" applyBorder="1"/>
    <xf numFmtId="0" fontId="0" fillId="2" borderId="3" xfId="0" applyFill="1" applyBorder="1"/>
    <xf numFmtId="2" fontId="0" fillId="2" borderId="4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 applyBorder="1"/>
    <xf numFmtId="0" fontId="0" fillId="4" borderId="7" xfId="0" applyFill="1" applyBorder="1"/>
    <xf numFmtId="0" fontId="0" fillId="4" borderId="1" xfId="0" applyFill="1" applyBorder="1"/>
    <xf numFmtId="2" fontId="0" fillId="4" borderId="2" xfId="0" applyNumberFormat="1" applyFill="1" applyBorder="1"/>
    <xf numFmtId="0" fontId="0" fillId="4" borderId="3" xfId="0" applyFill="1" applyBorder="1"/>
    <xf numFmtId="2" fontId="0" fillId="2" borderId="1" xfId="0" applyNumberFormat="1" applyFill="1" applyBorder="1"/>
    <xf numFmtId="0" fontId="0" fillId="2" borderId="2" xfId="0" applyFill="1" applyBorder="1"/>
    <xf numFmtId="0" fontId="0" fillId="4" borderId="8" xfId="0" applyFill="1" applyBorder="1"/>
    <xf numFmtId="0" fontId="2" fillId="0" borderId="0" xfId="0" applyFont="1" applyBorder="1"/>
    <xf numFmtId="2" fontId="0" fillId="3" borderId="0" xfId="0" applyNumberFormat="1" applyFill="1" applyBorder="1" applyAlignment="1">
      <alignment horizontal="center"/>
    </xf>
    <xf numFmtId="0" fontId="0" fillId="3" borderId="8" xfId="0" applyFont="1" applyFill="1" applyBorder="1"/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0" borderId="8" xfId="0" applyFont="1" applyBorder="1"/>
    <xf numFmtId="166" fontId="0" fillId="0" borderId="0" xfId="0" applyNumberFormat="1"/>
    <xf numFmtId="0" fontId="2" fillId="3" borderId="0" xfId="0" applyFont="1" applyFill="1" applyAlignment="1">
      <alignment horizontal="center"/>
    </xf>
    <xf numFmtId="166" fontId="0" fillId="3" borderId="8" xfId="1" applyNumberFormat="1" applyFont="1" applyFill="1" applyBorder="1"/>
    <xf numFmtId="1" fontId="0" fillId="5" borderId="8" xfId="0" applyNumberFormat="1" applyFill="1" applyBorder="1"/>
    <xf numFmtId="0" fontId="2" fillId="3" borderId="0" xfId="0" applyFont="1" applyFill="1" applyAlignment="1">
      <alignment horizontal="center" vertical="center"/>
    </xf>
    <xf numFmtId="2" fontId="0" fillId="6" borderId="8" xfId="0" applyNumberFormat="1" applyFill="1" applyBorder="1"/>
    <xf numFmtId="164" fontId="0" fillId="3" borderId="0" xfId="0" applyNumberFormat="1" applyFill="1" applyBorder="1"/>
    <xf numFmtId="0" fontId="0" fillId="3" borderId="0" xfId="0" applyFont="1" applyFill="1" applyBorder="1"/>
    <xf numFmtId="164" fontId="0" fillId="6" borderId="8" xfId="0" applyNumberFormat="1" applyFill="1" applyBorder="1"/>
    <xf numFmtId="12" fontId="0" fillId="6" borderId="8" xfId="0" applyNumberFormat="1" applyFill="1" applyBorder="1" applyAlignment="1"/>
    <xf numFmtId="0" fontId="0" fillId="0" borderId="8" xfId="0" applyFont="1" applyBorder="1" applyAlignment="1">
      <alignment horizontal="left"/>
    </xf>
    <xf numFmtId="1" fontId="2" fillId="7" borderId="8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left"/>
    </xf>
    <xf numFmtId="168" fontId="0" fillId="0" borderId="8" xfId="1" applyNumberFormat="1" applyFont="1" applyBorder="1" applyAlignment="1">
      <alignment horizontal="right"/>
    </xf>
    <xf numFmtId="2" fontId="0" fillId="0" borderId="8" xfId="0" applyNumberFormat="1" applyBorder="1"/>
    <xf numFmtId="0" fontId="3" fillId="0" borderId="8" xfId="0" applyFont="1" applyBorder="1" applyAlignment="1">
      <alignment horizontal="right"/>
    </xf>
    <xf numFmtId="2" fontId="0" fillId="0" borderId="8" xfId="0" applyNumberFormat="1" applyBorder="1" applyAlignment="1">
      <alignment horizontal="right"/>
    </xf>
    <xf numFmtId="164" fontId="0" fillId="0" borderId="8" xfId="0" applyNumberFormat="1" applyBorder="1"/>
    <xf numFmtId="2" fontId="2" fillId="0" borderId="8" xfId="0" applyNumberFormat="1" applyFont="1" applyBorder="1" applyAlignment="1">
      <alignment horizontal="right"/>
    </xf>
    <xf numFmtId="167" fontId="0" fillId="0" borderId="8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0" fontId="2" fillId="0" borderId="8" xfId="0" applyFont="1" applyBorder="1" applyAlignment="1">
      <alignment horizontal="right"/>
    </xf>
    <xf numFmtId="166" fontId="0" fillId="3" borderId="0" xfId="1" applyNumberFormat="1" applyFont="1" applyFill="1" applyBorder="1"/>
    <xf numFmtId="2" fontId="0" fillId="6" borderId="0" xfId="0" applyNumberFormat="1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12" fontId="0" fillId="0" borderId="0" xfId="0" applyNumberFormat="1"/>
    <xf numFmtId="2" fontId="2" fillId="0" borderId="8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2" fillId="0" borderId="8" xfId="0" applyNumberFormat="1" applyFont="1" applyBorder="1" applyAlignment="1">
      <alignment horizontal="right"/>
    </xf>
    <xf numFmtId="2" fontId="2" fillId="0" borderId="5" xfId="0" applyNumberFormat="1" applyFont="1" applyBorder="1" applyAlignment="1">
      <alignment horizontal="left"/>
    </xf>
    <xf numFmtId="2" fontId="0" fillId="0" borderId="8" xfId="0" applyNumberForma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2" fontId="4" fillId="0" borderId="8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left"/>
    </xf>
    <xf numFmtId="2" fontId="2" fillId="0" borderId="5" xfId="0" applyNumberFormat="1" applyFont="1" applyBorder="1" applyAlignment="1">
      <alignment horizontal="right"/>
    </xf>
    <xf numFmtId="1" fontId="0" fillId="6" borderId="8" xfId="0" applyNumberFormat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G2" sqref="G2"/>
    </sheetView>
  </sheetViews>
  <sheetFormatPr defaultRowHeight="15" x14ac:dyDescent="0.25"/>
  <cols>
    <col min="1" max="1" width="7.85546875" style="1" customWidth="1"/>
    <col min="2" max="2" width="8.5703125" style="2" bestFit="1" customWidth="1"/>
    <col min="3" max="3" width="5.7109375" style="2" customWidth="1"/>
    <col min="4" max="4" width="6.42578125" style="2" customWidth="1"/>
    <col min="5" max="5" width="7.5703125" style="2" bestFit="1" customWidth="1"/>
    <col min="6" max="6" width="6.42578125" style="2" bestFit="1" customWidth="1"/>
  </cols>
  <sheetData>
    <row r="1" spans="1:6" x14ac:dyDescent="0.25">
      <c r="A1" s="1" t="s">
        <v>0</v>
      </c>
    </row>
    <row r="2" spans="1:6" s="5" customFormat="1" ht="91.5" x14ac:dyDescent="0.25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1" t="s">
        <v>140</v>
      </c>
      <c r="B3" s="6">
        <f>90-Cylinder!$F$2</f>
        <v>75</v>
      </c>
      <c r="C3" s="6">
        <f>Cylinder!$B$1</f>
        <v>0.75</v>
      </c>
      <c r="D3" s="6">
        <f>Cylinder!$B$10</f>
        <v>2.75</v>
      </c>
      <c r="E3" s="6">
        <f>Cylinder!$B$12</f>
        <v>1.4235047480638641</v>
      </c>
      <c r="F3" s="6">
        <f>Cylinder!$B$8</f>
        <v>9.75</v>
      </c>
    </row>
    <row r="4" spans="1:6" x14ac:dyDescent="0.25">
      <c r="A4" s="1" t="s">
        <v>139</v>
      </c>
      <c r="B4" s="6">
        <f>90-Cylinder!$F$2</f>
        <v>75</v>
      </c>
      <c r="C4" s="6">
        <f>Cylinder!$B$1</f>
        <v>0.75</v>
      </c>
      <c r="D4" s="6">
        <f>Cylinder!$C$10</f>
        <v>3.25</v>
      </c>
      <c r="E4" s="6">
        <f>Cylinder!$C$12</f>
        <v>1.6823237931663848</v>
      </c>
      <c r="F4" s="6">
        <f>Cylinder!$C$8</f>
        <v>11.25</v>
      </c>
    </row>
    <row r="5" spans="1:6" x14ac:dyDescent="0.25">
      <c r="A5" s="1" t="s">
        <v>16</v>
      </c>
      <c r="B5" s="6">
        <f>90-Cylinder!$F$2</f>
        <v>75</v>
      </c>
      <c r="C5" s="6">
        <f>Cylinder!$B$1</f>
        <v>0.75</v>
      </c>
      <c r="D5" s="6">
        <f>Cylinder!$D$10</f>
        <v>3.75</v>
      </c>
      <c r="E5" s="6">
        <f>Cylinder!$D$12</f>
        <v>1.9411428382689055</v>
      </c>
      <c r="F5" s="6">
        <f>Cylinder!$D$8</f>
        <v>12.75</v>
      </c>
    </row>
    <row r="6" spans="1:6" x14ac:dyDescent="0.25">
      <c r="A6" s="1" t="s">
        <v>107</v>
      </c>
      <c r="B6" s="6">
        <f>90-Cylinder!$F$2</f>
        <v>75</v>
      </c>
      <c r="C6" s="6">
        <f>Cylinder!$B$1</f>
        <v>0.75</v>
      </c>
      <c r="D6" s="6">
        <f>Cylinder!$E$10</f>
        <v>4.25</v>
      </c>
      <c r="E6" s="6">
        <f>Cylinder!$E$12</f>
        <v>2.1999618833714263</v>
      </c>
      <c r="F6" s="6">
        <f>Cylinder!$E$8</f>
        <v>14.25</v>
      </c>
    </row>
    <row r="7" spans="1:6" x14ac:dyDescent="0.25">
      <c r="A7" s="1" t="s">
        <v>6</v>
      </c>
      <c r="B7" s="6">
        <f>90-Cylinder!$F$2</f>
        <v>75</v>
      </c>
      <c r="C7" s="6">
        <f>Cylinder!$B$1</f>
        <v>0.75</v>
      </c>
      <c r="D7" s="6">
        <f>Cylinder!$F$10</f>
        <v>4.75</v>
      </c>
      <c r="E7" s="6">
        <f>Cylinder!$F$12</f>
        <v>2.458780928473947</v>
      </c>
      <c r="F7" s="6">
        <f>Cylinder!$F$8</f>
        <v>15.75</v>
      </c>
    </row>
    <row r="8" spans="1:6" x14ac:dyDescent="0.25">
      <c r="A8" s="1" t="s">
        <v>138</v>
      </c>
      <c r="B8" s="6">
        <f>90-Cylinder!$F$2</f>
        <v>75</v>
      </c>
      <c r="C8" s="6">
        <f>Cylinder!$B$1</f>
        <v>0.75</v>
      </c>
      <c r="D8" s="6">
        <f>Cylinder!$G$10</f>
        <v>5.25</v>
      </c>
      <c r="E8" s="6">
        <f>Cylinder!$G$12</f>
        <v>2.7175999735764678</v>
      </c>
      <c r="F8" s="6">
        <f>Cylinder!$G$8</f>
        <v>17.25</v>
      </c>
    </row>
    <row r="9" spans="1:6" x14ac:dyDescent="0.25">
      <c r="A9" s="1" t="s">
        <v>7</v>
      </c>
      <c r="B9" s="6">
        <f>90-Cylinder!$F$2</f>
        <v>75</v>
      </c>
      <c r="C9" s="6">
        <f>Cylinder!$B$1</f>
        <v>0.75</v>
      </c>
      <c r="D9" s="6">
        <f>Cylinder!$H$10</f>
        <v>5.75</v>
      </c>
      <c r="E9" s="6">
        <f>Cylinder!$H$12</f>
        <v>2.9764190186789885</v>
      </c>
      <c r="F9" s="6">
        <f>Cylinder!$H$8</f>
        <v>18.75</v>
      </c>
    </row>
    <row r="10" spans="1:6" x14ac:dyDescent="0.25">
      <c r="A10" s="1" t="s">
        <v>137</v>
      </c>
      <c r="B10" s="6">
        <f>90-Cylinder!$F$2</f>
        <v>75</v>
      </c>
      <c r="C10" s="6">
        <f>Cylinder!$B$1</f>
        <v>0.75</v>
      </c>
      <c r="D10" s="6">
        <f>Cylinder!$I$10</f>
        <v>6.25</v>
      </c>
      <c r="E10" s="6">
        <f>Cylinder!$I$12</f>
        <v>3.2352380637815092</v>
      </c>
      <c r="F10" s="6">
        <f>Cylinder!$I$8</f>
        <v>20.25</v>
      </c>
    </row>
    <row r="11" spans="1:6" x14ac:dyDescent="0.25">
      <c r="A11" s="1" t="s">
        <v>8</v>
      </c>
      <c r="B11" s="6">
        <f>90-Cylinder!$F$2</f>
        <v>75</v>
      </c>
      <c r="C11" s="6">
        <f>Cylinder!$B$1</f>
        <v>0.75</v>
      </c>
      <c r="D11" s="6">
        <f>Cylinder!$J$10</f>
        <v>6.75</v>
      </c>
      <c r="E11" s="6">
        <f>Cylinder!$J$12</f>
        <v>3.49405710888403</v>
      </c>
      <c r="F11" s="6">
        <f>Cylinder!$J$8</f>
        <v>21.75</v>
      </c>
    </row>
    <row r="12" spans="1:6" x14ac:dyDescent="0.25">
      <c r="A12" s="1" t="s">
        <v>136</v>
      </c>
      <c r="B12" s="6">
        <f>90-Cylinder!$F$2</f>
        <v>75</v>
      </c>
      <c r="C12" s="6">
        <f>Cylinder!$B$1</f>
        <v>0.75</v>
      </c>
      <c r="D12" s="6">
        <f>Cylinder!$K$10</f>
        <v>7.25</v>
      </c>
      <c r="E12" s="6">
        <f>Cylinder!$K$12</f>
        <v>3.7528761539865507</v>
      </c>
      <c r="F12" s="6">
        <f>Cylinder!$K$8</f>
        <v>23.25</v>
      </c>
    </row>
    <row r="13" spans="1:6" x14ac:dyDescent="0.25">
      <c r="A13" s="1" t="s">
        <v>9</v>
      </c>
      <c r="B13" s="6">
        <f>90-Cylinder!$F$2</f>
        <v>75</v>
      </c>
      <c r="C13" s="6">
        <f>Cylinder!$B$1</f>
        <v>0.75</v>
      </c>
      <c r="D13" s="6">
        <f>Cylinder!$L$10</f>
        <v>7.75</v>
      </c>
      <c r="E13" s="6">
        <f>Cylinder!$L$12</f>
        <v>4.0116951990890719</v>
      </c>
      <c r="F13" s="6">
        <f>Cylinder!$L$8</f>
        <v>24.75</v>
      </c>
    </row>
    <row r="14" spans="1:6" x14ac:dyDescent="0.25">
      <c r="A14" s="1" t="s">
        <v>141</v>
      </c>
      <c r="B14" s="6">
        <f>90-Cylinder!$F$2</f>
        <v>75</v>
      </c>
      <c r="C14" s="6">
        <f>Cylinder!$B$1</f>
        <v>0.75</v>
      </c>
      <c r="D14" s="6">
        <f>Cylinder!$M$10</f>
        <v>8.25</v>
      </c>
      <c r="E14" s="6">
        <f>Cylinder!$M$12</f>
        <v>4.2705142441915918</v>
      </c>
      <c r="F14" s="6">
        <f>Cylinder!$M$8</f>
        <v>26.25</v>
      </c>
    </row>
    <row r="15" spans="1:6" x14ac:dyDescent="0.25">
      <c r="A15" s="1" t="s">
        <v>10</v>
      </c>
      <c r="B15" s="6">
        <f>90-Cylinder!$F$2</f>
        <v>75</v>
      </c>
      <c r="C15" s="6">
        <f>Cylinder!$B$1</f>
        <v>0.75</v>
      </c>
      <c r="D15" s="6">
        <f>Cylinder!$N$10</f>
        <v>8.75</v>
      </c>
      <c r="E15" s="6">
        <f>Cylinder!$N$12</f>
        <v>4.5293332892941134</v>
      </c>
      <c r="F15" s="6">
        <f>Cylinder!$N$8</f>
        <v>27.75</v>
      </c>
    </row>
    <row r="16" spans="1:6" x14ac:dyDescent="0.25">
      <c r="A16" s="1" t="s">
        <v>142</v>
      </c>
      <c r="B16" s="6">
        <f>90-Cylinder!$F$2</f>
        <v>75</v>
      </c>
      <c r="C16" s="6">
        <f>Cylinder!$B$1</f>
        <v>0.75</v>
      </c>
      <c r="D16" s="6">
        <f>Cylinder!$O$10</f>
        <v>9.25</v>
      </c>
      <c r="E16" s="6">
        <f>Cylinder!$O$12</f>
        <v>4.7881523343966332</v>
      </c>
      <c r="F16" s="6">
        <f>Cylinder!$O$8</f>
        <v>29.25</v>
      </c>
    </row>
    <row r="17" spans="1:6" x14ac:dyDescent="0.25">
      <c r="A17" s="1" t="s">
        <v>11</v>
      </c>
      <c r="B17" s="6">
        <f>90-Cylinder!$F$2</f>
        <v>75</v>
      </c>
      <c r="C17" s="6">
        <f>Cylinder!$B$1</f>
        <v>0.75</v>
      </c>
      <c r="D17" s="6">
        <f>Cylinder!$P$10</f>
        <v>9.75</v>
      </c>
      <c r="E17" s="6">
        <f>Cylinder!$P$12</f>
        <v>5.0469713794991549</v>
      </c>
      <c r="F17" s="6">
        <f>Cylinder!$P$8</f>
        <v>30.75</v>
      </c>
    </row>
    <row r="18" spans="1:6" x14ac:dyDescent="0.25">
      <c r="A18" s="1" t="s">
        <v>143</v>
      </c>
      <c r="B18" s="6">
        <f>90-Cylinder!$F$2</f>
        <v>75</v>
      </c>
      <c r="C18" s="6">
        <f>Cylinder!$B$1</f>
        <v>0.75</v>
      </c>
      <c r="D18" s="6">
        <f>Cylinder!$Q$10</f>
        <v>10.25</v>
      </c>
      <c r="E18" s="6">
        <f>Cylinder!$Q$12</f>
        <v>5.3057904246016747</v>
      </c>
      <c r="F18" s="6">
        <f>Cylinder!$Q$8</f>
        <v>32.25</v>
      </c>
    </row>
    <row r="19" spans="1:6" x14ac:dyDescent="0.25">
      <c r="A19" s="1" t="s">
        <v>12</v>
      </c>
      <c r="B19" s="6">
        <f>90-Cylinder!$F$2</f>
        <v>75</v>
      </c>
      <c r="C19" s="6">
        <f>Cylinder!$B$1</f>
        <v>0.75</v>
      </c>
      <c r="D19" s="6">
        <f>Cylinder!$R$10</f>
        <v>10.75</v>
      </c>
      <c r="E19" s="6">
        <f>Cylinder!$R$12</f>
        <v>5.5646094697041963</v>
      </c>
      <c r="F19" s="6">
        <f>Cylinder!$R$8</f>
        <v>33.75</v>
      </c>
    </row>
    <row r="20" spans="1:6" x14ac:dyDescent="0.25">
      <c r="A20" s="1" t="s">
        <v>144</v>
      </c>
      <c r="B20" s="6">
        <f>90-Cylinder!$F$2</f>
        <v>75</v>
      </c>
      <c r="C20" s="6">
        <f>Cylinder!$B$1</f>
        <v>0.75</v>
      </c>
      <c r="D20" s="6">
        <f>Cylinder!$S$10</f>
        <v>11.25</v>
      </c>
      <c r="E20" s="6">
        <f>Cylinder!$S$12</f>
        <v>5.8234285148067162</v>
      </c>
      <c r="F20" s="6">
        <f>Cylinder!$S$8</f>
        <v>35.25</v>
      </c>
    </row>
    <row r="21" spans="1:6" x14ac:dyDescent="0.25">
      <c r="A21" s="1" t="s">
        <v>13</v>
      </c>
      <c r="B21" s="6">
        <f>90-Cylinder!$F$2</f>
        <v>75</v>
      </c>
      <c r="C21" s="6">
        <f>Cylinder!$B$1</f>
        <v>0.75</v>
      </c>
      <c r="D21" s="6">
        <f>Cylinder!$T$10</f>
        <v>11.75</v>
      </c>
      <c r="E21" s="6">
        <f>Cylinder!$T$12</f>
        <v>6.0822475599092378</v>
      </c>
      <c r="F21" s="6">
        <f>Cylinder!$T$8</f>
        <v>36.75</v>
      </c>
    </row>
    <row r="22" spans="1:6" x14ac:dyDescent="0.25">
      <c r="A22" s="1" t="s">
        <v>145</v>
      </c>
      <c r="B22" s="6">
        <f>90-Cylinder!$F$2</f>
        <v>75</v>
      </c>
      <c r="C22" s="6">
        <f>Cylinder!$B$1</f>
        <v>0.75</v>
      </c>
      <c r="D22" s="6">
        <f>Cylinder!$U$10</f>
        <v>12.25</v>
      </c>
      <c r="E22" s="6">
        <f>Cylinder!$U$12</f>
        <v>6.3410666050117577</v>
      </c>
      <c r="F22" s="6">
        <f>Cylinder!$U$8</f>
        <v>38.25</v>
      </c>
    </row>
    <row r="23" spans="1:6" x14ac:dyDescent="0.25">
      <c r="A23" s="1" t="s">
        <v>14</v>
      </c>
      <c r="B23" s="6">
        <f>90-Cylinder!$F$2</f>
        <v>75</v>
      </c>
      <c r="C23" s="6">
        <f>Cylinder!$B$1</f>
        <v>0.75</v>
      </c>
      <c r="D23" s="6">
        <f>Cylinder!$V$10</f>
        <v>12.75</v>
      </c>
      <c r="E23" s="6">
        <f>Cylinder!$V$12</f>
        <v>6.5998856501142793</v>
      </c>
      <c r="F23" s="6">
        <f>Cylinder!$V$8</f>
        <v>39.75</v>
      </c>
    </row>
    <row r="24" spans="1:6" x14ac:dyDescent="0.25">
      <c r="A24" s="1" t="s">
        <v>146</v>
      </c>
      <c r="B24" s="6">
        <f>90-Cylinder!$F$2</f>
        <v>75</v>
      </c>
      <c r="C24" s="6">
        <f>Cylinder!$B$1</f>
        <v>0.75</v>
      </c>
      <c r="D24" s="6">
        <f>Cylinder!$W$10</f>
        <v>13.25</v>
      </c>
      <c r="E24" s="6">
        <f>Cylinder!$W$12</f>
        <v>6.8587046952167992</v>
      </c>
      <c r="F24" s="6">
        <f>Cylinder!$W$8</f>
        <v>41.25</v>
      </c>
    </row>
    <row r="25" spans="1:6" x14ac:dyDescent="0.25">
      <c r="A25" s="1" t="s">
        <v>15</v>
      </c>
      <c r="B25" s="6">
        <f>90-Cylinder!$F$2</f>
        <v>75</v>
      </c>
      <c r="C25" s="6">
        <f>Cylinder!$B$1</f>
        <v>0.75</v>
      </c>
      <c r="D25" s="6">
        <f>Cylinder!$X$10</f>
        <v>13.75</v>
      </c>
      <c r="E25" s="6">
        <f>Cylinder!$X$12</f>
        <v>7.1175237403193208</v>
      </c>
      <c r="F25" s="6">
        <f>Cylinder!$X$8</f>
        <v>42.75</v>
      </c>
    </row>
    <row r="26" spans="1:6" x14ac:dyDescent="0.25">
      <c r="A26" s="1" t="s">
        <v>147</v>
      </c>
      <c r="B26" s="6">
        <f>90-Cylinder!$F$2</f>
        <v>75</v>
      </c>
      <c r="C26" s="6">
        <f>Cylinder!$B$1</f>
        <v>0.75</v>
      </c>
      <c r="D26" s="6">
        <f>Cylinder!$Y$10</f>
        <v>14.25</v>
      </c>
      <c r="E26" s="6">
        <f>Cylinder!$Y$12</f>
        <v>7.3763427854218406</v>
      </c>
      <c r="F26" s="6">
        <f>Cylinder!$Y$8</f>
        <v>44.25</v>
      </c>
    </row>
    <row r="27" spans="1:6" x14ac:dyDescent="0.25">
      <c r="A27" s="1" t="s">
        <v>148</v>
      </c>
      <c r="B27" s="6">
        <f>90-Cylinder!$F$2</f>
        <v>75</v>
      </c>
      <c r="C27" s="6">
        <f>Cylinder!$B$1</f>
        <v>0.75</v>
      </c>
      <c r="D27" s="6">
        <f>Cylinder!$Z$10</f>
        <v>14.75</v>
      </c>
      <c r="E27" s="6">
        <f>Cylinder!$Z$12</f>
        <v>7.6351618305243623</v>
      </c>
      <c r="F27" s="6">
        <f>Cylinder!$Z$8</f>
        <v>45.75</v>
      </c>
    </row>
    <row r="28" spans="1:6" x14ac:dyDescent="0.25">
      <c r="A28" s="1" t="s">
        <v>149</v>
      </c>
      <c r="B28" s="6">
        <f>90-Cylinder!$F$2</f>
        <v>75</v>
      </c>
      <c r="C28" s="6">
        <f>Cylinder!$B$1</f>
        <v>0.75</v>
      </c>
      <c r="D28" s="6">
        <f>Cylinder!$AA$10</f>
        <v>15.25</v>
      </c>
      <c r="E28" s="6">
        <f>Cylinder!$AA$12</f>
        <v>7.8939808756268821</v>
      </c>
      <c r="F28" s="6">
        <f>Cylinder!$AA$8</f>
        <v>47.25</v>
      </c>
    </row>
    <row r="29" spans="1:6" x14ac:dyDescent="0.25">
      <c r="A29" s="1" t="s">
        <v>150</v>
      </c>
      <c r="B29" s="6">
        <f>90-Cylinder!$F$2</f>
        <v>75</v>
      </c>
      <c r="C29" s="6">
        <f>Cylinder!$B$1</f>
        <v>0.75</v>
      </c>
      <c r="D29" s="6">
        <f>Cylinder!$AB$10</f>
        <v>15.75</v>
      </c>
      <c r="E29" s="6">
        <f>Cylinder!$AB$12</f>
        <v>8.1527999207294037</v>
      </c>
      <c r="F29" s="6">
        <f>Cylinder!$AB$8</f>
        <v>48.75</v>
      </c>
    </row>
    <row r="30" spans="1:6" x14ac:dyDescent="0.25">
      <c r="A30" s="1" t="s">
        <v>151</v>
      </c>
      <c r="B30" s="6">
        <f>90-Cylinder!$F$2</f>
        <v>75</v>
      </c>
      <c r="C30" s="6">
        <f>Cylinder!$B$1</f>
        <v>0.75</v>
      </c>
      <c r="D30" s="6">
        <f>Cylinder!$AC$10</f>
        <v>16.25</v>
      </c>
      <c r="E30" s="6">
        <f>Cylinder!$AC$12</f>
        <v>8.4116189658319236</v>
      </c>
      <c r="F30" s="6">
        <f>Cylinder!$AC$8</f>
        <v>50.25</v>
      </c>
    </row>
    <row r="31" spans="1:6" x14ac:dyDescent="0.25">
      <c r="A31" s="1" t="s">
        <v>152</v>
      </c>
      <c r="B31" s="6">
        <f>90-Cylinder!$F$2</f>
        <v>75</v>
      </c>
      <c r="C31" s="6">
        <f>Cylinder!$B$1</f>
        <v>0.75</v>
      </c>
      <c r="D31" s="6">
        <f>Cylinder!$AD$10</f>
        <v>16.75</v>
      </c>
      <c r="E31" s="6">
        <f>Cylinder!$AD$12</f>
        <v>8.6704380109344452</v>
      </c>
      <c r="F31" s="6">
        <f>Cylinder!$AD$8</f>
        <v>51.75</v>
      </c>
    </row>
    <row r="32" spans="1:6" x14ac:dyDescent="0.25">
      <c r="A32" s="1" t="s">
        <v>153</v>
      </c>
      <c r="B32" s="6">
        <f>90-Cylinder!$F$2</f>
        <v>75</v>
      </c>
      <c r="C32" s="6">
        <f>Cylinder!$B$1</f>
        <v>0.75</v>
      </c>
      <c r="D32" s="6">
        <f>Cylinder!$AE$10</f>
        <v>17.25</v>
      </c>
      <c r="E32" s="6">
        <f>Cylinder!$AE$12</f>
        <v>8.9292570560369651</v>
      </c>
      <c r="F32" s="6">
        <f>Cylinder!$AE$8</f>
        <v>53.25</v>
      </c>
    </row>
    <row r="33" spans="1:6" x14ac:dyDescent="0.25">
      <c r="A33" s="1" t="s">
        <v>154</v>
      </c>
      <c r="B33" s="6">
        <f>90-Cylinder!$F$2</f>
        <v>75</v>
      </c>
      <c r="C33" s="6">
        <f>Cylinder!$B$1</f>
        <v>0.75</v>
      </c>
      <c r="D33" s="6">
        <f>Cylinder!$AF$10</f>
        <v>17.75</v>
      </c>
      <c r="E33" s="6">
        <f>Cylinder!$AF$12</f>
        <v>9.1880761011394867</v>
      </c>
      <c r="F33" s="6">
        <f>Cylinder!$AF$8</f>
        <v>54.75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30" style="8" customWidth="1"/>
    <col min="2" max="2" width="8" style="6" bestFit="1" customWidth="1"/>
    <col min="3" max="4" width="6.7109375" style="6" bestFit="1" customWidth="1"/>
    <col min="5" max="5" width="7" style="6" customWidth="1"/>
    <col min="6" max="6" width="9.140625" style="6" customWidth="1"/>
    <col min="7" max="8" width="7.5703125" style="6" bestFit="1" customWidth="1"/>
    <col min="9" max="9" width="8.85546875" style="6" bestFit="1" customWidth="1"/>
    <col min="10" max="10" width="9" style="6" customWidth="1"/>
    <col min="11" max="12" width="7.5703125" style="6" bestFit="1" customWidth="1"/>
  </cols>
  <sheetData>
    <row r="1" spans="1:32" x14ac:dyDescent="0.25">
      <c r="A1" s="58" t="s">
        <v>106</v>
      </c>
      <c r="B1" s="52">
        <v>0.75</v>
      </c>
      <c r="C1" s="66" t="s">
        <v>105</v>
      </c>
      <c r="D1" s="68"/>
      <c r="E1" s="68"/>
      <c r="F1" s="57">
        <v>9.5000000000000001E-2</v>
      </c>
      <c r="G1" s="71" t="s">
        <v>104</v>
      </c>
      <c r="H1" s="71"/>
      <c r="I1" s="71"/>
      <c r="J1" s="55">
        <f>F1/COS(J2)</f>
        <v>9.5000000000000001E-2</v>
      </c>
      <c r="K1" s="69">
        <f ca="1">NOW()</f>
        <v>41405.98711574074</v>
      </c>
      <c r="L1" s="70"/>
    </row>
    <row r="2" spans="1:32" x14ac:dyDescent="0.25">
      <c r="A2" s="54" t="s">
        <v>53</v>
      </c>
      <c r="B2" s="56">
        <v>12</v>
      </c>
      <c r="C2" s="66" t="s">
        <v>103</v>
      </c>
      <c r="D2" s="66"/>
      <c r="E2" s="66"/>
      <c r="F2" s="52">
        <f>180/B2</f>
        <v>15</v>
      </c>
      <c r="G2" s="66"/>
      <c r="H2" s="66"/>
      <c r="I2" s="66"/>
      <c r="J2" s="55"/>
    </row>
    <row r="3" spans="1:32" x14ac:dyDescent="0.25">
      <c r="A3" s="54" t="s">
        <v>102</v>
      </c>
      <c r="B3" s="53">
        <v>1.5</v>
      </c>
      <c r="C3" s="64" t="s">
        <v>101</v>
      </c>
      <c r="D3" s="65"/>
      <c r="E3" s="65"/>
      <c r="F3" s="52">
        <v>0</v>
      </c>
      <c r="G3" s="66" t="s">
        <v>100</v>
      </c>
      <c r="H3" s="66"/>
      <c r="I3" s="66"/>
      <c r="J3" s="52">
        <v>0.75</v>
      </c>
      <c r="K3"/>
      <c r="L3"/>
    </row>
    <row r="4" spans="1:32" x14ac:dyDescent="0.25">
      <c r="A4" s="51" t="s">
        <v>99</v>
      </c>
      <c r="B4" s="50">
        <v>0.5</v>
      </c>
      <c r="C4" s="66" t="s">
        <v>98</v>
      </c>
      <c r="D4" s="68"/>
      <c r="E4" s="68"/>
      <c r="F4" s="49">
        <v>0.05</v>
      </c>
      <c r="G4" s="66" t="s">
        <v>97</v>
      </c>
      <c r="H4" s="66"/>
      <c r="I4" s="66"/>
      <c r="J4" s="49">
        <v>0.05</v>
      </c>
    </row>
    <row r="5" spans="1:32" x14ac:dyDescent="0.25">
      <c r="E5" s="47"/>
      <c r="F5" s="48"/>
      <c r="G5" s="47"/>
      <c r="H5" s="46"/>
    </row>
    <row r="6" spans="1:32" x14ac:dyDescent="0.25">
      <c r="A6" s="45" t="s">
        <v>96</v>
      </c>
      <c r="B6" s="44" t="s">
        <v>108</v>
      </c>
      <c r="C6" s="44" t="s">
        <v>109</v>
      </c>
      <c r="D6" s="44" t="s">
        <v>95</v>
      </c>
      <c r="E6" s="44" t="s">
        <v>110</v>
      </c>
      <c r="F6" s="44" t="s">
        <v>94</v>
      </c>
      <c r="G6" s="44" t="s">
        <v>111</v>
      </c>
      <c r="H6" s="44" t="s">
        <v>93</v>
      </c>
      <c r="I6" s="44" t="s">
        <v>112</v>
      </c>
      <c r="J6" s="44" t="s">
        <v>92</v>
      </c>
      <c r="K6" s="44" t="s">
        <v>113</v>
      </c>
      <c r="L6" s="44" t="s">
        <v>91</v>
      </c>
      <c r="M6" s="44" t="s">
        <v>114</v>
      </c>
      <c r="N6" s="44" t="s">
        <v>90</v>
      </c>
      <c r="O6" s="44" t="s">
        <v>115</v>
      </c>
      <c r="P6" s="44" t="s">
        <v>89</v>
      </c>
      <c r="Q6" s="44" t="s">
        <v>116</v>
      </c>
      <c r="R6" s="44" t="s">
        <v>88</v>
      </c>
      <c r="S6" s="44" t="s">
        <v>117</v>
      </c>
      <c r="T6" s="44" t="s">
        <v>87</v>
      </c>
      <c r="U6" s="44" t="s">
        <v>118</v>
      </c>
      <c r="V6" s="44" t="s">
        <v>86</v>
      </c>
      <c r="W6" s="44" t="s">
        <v>119</v>
      </c>
      <c r="X6" s="44" t="s">
        <v>85</v>
      </c>
      <c r="Y6" s="44" t="s">
        <v>120</v>
      </c>
      <c r="Z6" s="44" t="s">
        <v>121</v>
      </c>
      <c r="AA6" s="44" t="s">
        <v>122</v>
      </c>
      <c r="AB6" s="44" t="s">
        <v>123</v>
      </c>
      <c r="AC6" s="44" t="s">
        <v>124</v>
      </c>
      <c r="AD6" s="44" t="s">
        <v>125</v>
      </c>
      <c r="AE6" s="44" t="s">
        <v>126</v>
      </c>
      <c r="AF6" s="44" t="s">
        <v>127</v>
      </c>
    </row>
    <row r="7" spans="1:32" x14ac:dyDescent="0.25">
      <c r="A7" s="43" t="s">
        <v>84</v>
      </c>
      <c r="B7" s="74">
        <v>6</v>
      </c>
      <c r="C7" s="74">
        <v>7</v>
      </c>
      <c r="D7" s="74">
        <v>8</v>
      </c>
      <c r="E7" s="74">
        <v>9</v>
      </c>
      <c r="F7" s="74">
        <v>10</v>
      </c>
      <c r="G7" s="74">
        <v>11</v>
      </c>
      <c r="H7" s="74">
        <v>12</v>
      </c>
      <c r="I7" s="74">
        <v>13</v>
      </c>
      <c r="J7" s="74">
        <v>14</v>
      </c>
      <c r="K7" s="74">
        <v>15</v>
      </c>
      <c r="L7" s="74">
        <v>16</v>
      </c>
      <c r="M7" s="74">
        <v>17</v>
      </c>
      <c r="N7" s="74">
        <v>18</v>
      </c>
      <c r="O7" s="74">
        <v>19</v>
      </c>
      <c r="P7" s="74">
        <v>20</v>
      </c>
      <c r="Q7" s="74">
        <v>21</v>
      </c>
      <c r="R7" s="74">
        <v>22</v>
      </c>
      <c r="S7" s="74">
        <v>23</v>
      </c>
      <c r="T7" s="74">
        <v>24</v>
      </c>
      <c r="U7" s="74">
        <v>25</v>
      </c>
      <c r="V7" s="74">
        <v>26</v>
      </c>
      <c r="W7" s="74">
        <v>27</v>
      </c>
      <c r="X7" s="74">
        <v>28</v>
      </c>
      <c r="Y7" s="74">
        <v>29</v>
      </c>
      <c r="Z7" s="74">
        <v>30</v>
      </c>
      <c r="AA7" s="74">
        <v>31</v>
      </c>
      <c r="AB7" s="74">
        <v>32</v>
      </c>
      <c r="AC7" s="74">
        <v>33</v>
      </c>
      <c r="AD7" s="74">
        <v>34</v>
      </c>
      <c r="AE7" s="74">
        <v>35</v>
      </c>
      <c r="AF7" s="74">
        <v>36</v>
      </c>
    </row>
    <row r="8" spans="1:32" x14ac:dyDescent="0.25">
      <c r="A8" s="28" t="s">
        <v>83</v>
      </c>
      <c r="B8" s="42">
        <f t="shared" ref="B8:AF8" si="0">CEILING(B9+$J$3, 0.25)</f>
        <v>9.75</v>
      </c>
      <c r="C8" s="42">
        <f t="shared" si="0"/>
        <v>11.25</v>
      </c>
      <c r="D8" s="42">
        <f t="shared" si="0"/>
        <v>12.75</v>
      </c>
      <c r="E8" s="42">
        <f t="shared" si="0"/>
        <v>14.25</v>
      </c>
      <c r="F8" s="42">
        <f t="shared" si="0"/>
        <v>15.75</v>
      </c>
      <c r="G8" s="42">
        <f t="shared" si="0"/>
        <v>17.25</v>
      </c>
      <c r="H8" s="42">
        <f t="shared" si="0"/>
        <v>18.75</v>
      </c>
      <c r="I8" s="42">
        <f t="shared" si="0"/>
        <v>20.25</v>
      </c>
      <c r="J8" s="42">
        <f t="shared" si="0"/>
        <v>21.75</v>
      </c>
      <c r="K8" s="42">
        <f t="shared" si="0"/>
        <v>23.25</v>
      </c>
      <c r="L8" s="42">
        <f t="shared" si="0"/>
        <v>24.75</v>
      </c>
      <c r="M8" s="42">
        <f t="shared" si="0"/>
        <v>26.25</v>
      </c>
      <c r="N8" s="42">
        <f t="shared" si="0"/>
        <v>27.75</v>
      </c>
      <c r="O8" s="42">
        <f t="shared" si="0"/>
        <v>29.25</v>
      </c>
      <c r="P8" s="42">
        <f t="shared" si="0"/>
        <v>30.75</v>
      </c>
      <c r="Q8" s="42">
        <f t="shared" si="0"/>
        <v>32.25</v>
      </c>
      <c r="R8" s="42">
        <f t="shared" si="0"/>
        <v>33.75</v>
      </c>
      <c r="S8" s="42">
        <f t="shared" si="0"/>
        <v>35.25</v>
      </c>
      <c r="T8" s="42">
        <f t="shared" si="0"/>
        <v>36.75</v>
      </c>
      <c r="U8" s="42">
        <f t="shared" si="0"/>
        <v>38.25</v>
      </c>
      <c r="V8" s="42">
        <f t="shared" si="0"/>
        <v>39.75</v>
      </c>
      <c r="W8" s="42">
        <f t="shared" si="0"/>
        <v>41.25</v>
      </c>
      <c r="X8" s="42">
        <f t="shared" si="0"/>
        <v>42.75</v>
      </c>
      <c r="Y8" s="42">
        <f t="shared" si="0"/>
        <v>44.25</v>
      </c>
      <c r="Z8" s="42">
        <f t="shared" si="0"/>
        <v>45.75</v>
      </c>
      <c r="AA8" s="42">
        <f t="shared" si="0"/>
        <v>47.25</v>
      </c>
      <c r="AB8" s="42">
        <f t="shared" si="0"/>
        <v>48.75</v>
      </c>
      <c r="AC8" s="42">
        <f t="shared" si="0"/>
        <v>50.25</v>
      </c>
      <c r="AD8" s="42">
        <f t="shared" si="0"/>
        <v>51.75</v>
      </c>
      <c r="AE8" s="42">
        <f t="shared" si="0"/>
        <v>53.25</v>
      </c>
      <c r="AF8" s="42">
        <f t="shared" si="0"/>
        <v>54.75</v>
      </c>
    </row>
    <row r="9" spans="1:32" x14ac:dyDescent="0.25">
      <c r="A9" s="32" t="s">
        <v>82</v>
      </c>
      <c r="B9" s="38">
        <f t="shared" ref="B9:C9" si="1">B7*$B$3</f>
        <v>9</v>
      </c>
      <c r="C9" s="38">
        <f t="shared" si="1"/>
        <v>10.5</v>
      </c>
      <c r="D9" s="38">
        <f t="shared" ref="D9:F9" si="2">D7*$B$3</f>
        <v>12</v>
      </c>
      <c r="E9" s="38">
        <f t="shared" si="2"/>
        <v>13.5</v>
      </c>
      <c r="F9" s="38">
        <f t="shared" si="2"/>
        <v>15</v>
      </c>
      <c r="G9" s="38">
        <f t="shared" ref="G9:M9" si="3">G7*$B$3</f>
        <v>16.5</v>
      </c>
      <c r="H9" s="38">
        <f t="shared" si="3"/>
        <v>18</v>
      </c>
      <c r="I9" s="38">
        <f t="shared" si="3"/>
        <v>19.5</v>
      </c>
      <c r="J9" s="38">
        <f t="shared" si="3"/>
        <v>21</v>
      </c>
      <c r="K9" s="38">
        <f t="shared" si="3"/>
        <v>22.5</v>
      </c>
      <c r="L9" s="38">
        <f t="shared" si="3"/>
        <v>24</v>
      </c>
      <c r="M9" s="38">
        <f t="shared" si="3"/>
        <v>25.5</v>
      </c>
      <c r="N9" s="38">
        <f t="shared" ref="N9:AF9" si="4">N7*$B$3</f>
        <v>27</v>
      </c>
      <c r="O9" s="38">
        <f t="shared" si="4"/>
        <v>28.5</v>
      </c>
      <c r="P9" s="38">
        <f t="shared" si="4"/>
        <v>30</v>
      </c>
      <c r="Q9" s="38">
        <f t="shared" si="4"/>
        <v>31.5</v>
      </c>
      <c r="R9" s="38">
        <f t="shared" si="4"/>
        <v>33</v>
      </c>
      <c r="S9" s="38">
        <f t="shared" si="4"/>
        <v>34.5</v>
      </c>
      <c r="T9" s="38">
        <f t="shared" si="4"/>
        <v>36</v>
      </c>
      <c r="U9" s="38">
        <f t="shared" si="4"/>
        <v>37.5</v>
      </c>
      <c r="V9" s="38">
        <f t="shared" si="4"/>
        <v>39</v>
      </c>
      <c r="W9" s="38">
        <f t="shared" si="4"/>
        <v>40.5</v>
      </c>
      <c r="X9" s="38">
        <f t="shared" si="4"/>
        <v>42</v>
      </c>
      <c r="Y9" s="38">
        <f t="shared" si="4"/>
        <v>43.5</v>
      </c>
      <c r="Z9" s="38">
        <f t="shared" si="4"/>
        <v>45</v>
      </c>
      <c r="AA9" s="38">
        <f t="shared" si="4"/>
        <v>46.5</v>
      </c>
      <c r="AB9" s="38">
        <f t="shared" si="4"/>
        <v>48</v>
      </c>
      <c r="AC9" s="38">
        <f t="shared" si="4"/>
        <v>49.5</v>
      </c>
      <c r="AD9" s="38">
        <f t="shared" si="4"/>
        <v>51</v>
      </c>
      <c r="AE9" s="38">
        <f t="shared" si="4"/>
        <v>52.5</v>
      </c>
      <c r="AF9" s="38">
        <f t="shared" si="4"/>
        <v>54</v>
      </c>
    </row>
    <row r="10" spans="1:32" x14ac:dyDescent="0.25">
      <c r="A10" s="32" t="s">
        <v>81</v>
      </c>
      <c r="B10" s="38">
        <f t="shared" ref="B10:C10" si="5">(B7-$B$4)/2</f>
        <v>2.75</v>
      </c>
      <c r="C10" s="38">
        <f t="shared" si="5"/>
        <v>3.25</v>
      </c>
      <c r="D10" s="38">
        <f t="shared" ref="D10:F10" si="6">(D7-$B$4)/2</f>
        <v>3.75</v>
      </c>
      <c r="E10" s="38">
        <f t="shared" si="6"/>
        <v>4.25</v>
      </c>
      <c r="F10" s="38">
        <f t="shared" si="6"/>
        <v>4.75</v>
      </c>
      <c r="G10" s="38">
        <f t="shared" ref="G10:M10" si="7">(G7-$B$4)/2</f>
        <v>5.25</v>
      </c>
      <c r="H10" s="38">
        <f t="shared" si="7"/>
        <v>5.75</v>
      </c>
      <c r="I10" s="38">
        <f t="shared" si="7"/>
        <v>6.25</v>
      </c>
      <c r="J10" s="38">
        <f t="shared" si="7"/>
        <v>6.75</v>
      </c>
      <c r="K10" s="38">
        <f t="shared" si="7"/>
        <v>7.25</v>
      </c>
      <c r="L10" s="38">
        <f t="shared" si="7"/>
        <v>7.75</v>
      </c>
      <c r="M10" s="38">
        <f t="shared" si="7"/>
        <v>8.25</v>
      </c>
      <c r="N10" s="38">
        <f t="shared" ref="N10:AF10" si="8">(N7-$B$4)/2</f>
        <v>8.75</v>
      </c>
      <c r="O10" s="38">
        <f t="shared" si="8"/>
        <v>9.25</v>
      </c>
      <c r="P10" s="38">
        <f t="shared" si="8"/>
        <v>9.75</v>
      </c>
      <c r="Q10" s="38">
        <f t="shared" si="8"/>
        <v>10.25</v>
      </c>
      <c r="R10" s="38">
        <f t="shared" si="8"/>
        <v>10.75</v>
      </c>
      <c r="S10" s="38">
        <f t="shared" si="8"/>
        <v>11.25</v>
      </c>
      <c r="T10" s="38">
        <f t="shared" si="8"/>
        <v>11.75</v>
      </c>
      <c r="U10" s="38">
        <f t="shared" si="8"/>
        <v>12.25</v>
      </c>
      <c r="V10" s="38">
        <f t="shared" si="8"/>
        <v>12.75</v>
      </c>
      <c r="W10" s="38">
        <f t="shared" si="8"/>
        <v>13.25</v>
      </c>
      <c r="X10" s="38">
        <f t="shared" si="8"/>
        <v>13.75</v>
      </c>
      <c r="Y10" s="38">
        <f t="shared" si="8"/>
        <v>14.25</v>
      </c>
      <c r="Z10" s="38">
        <f t="shared" si="8"/>
        <v>14.75</v>
      </c>
      <c r="AA10" s="38">
        <f t="shared" si="8"/>
        <v>15.25</v>
      </c>
      <c r="AB10" s="38">
        <f t="shared" si="8"/>
        <v>15.75</v>
      </c>
      <c r="AC10" s="38">
        <f t="shared" si="8"/>
        <v>16.25</v>
      </c>
      <c r="AD10" s="38">
        <f t="shared" si="8"/>
        <v>16.75</v>
      </c>
      <c r="AE10" s="38">
        <f t="shared" si="8"/>
        <v>17.25</v>
      </c>
      <c r="AF10" s="38">
        <f t="shared" si="8"/>
        <v>17.75</v>
      </c>
    </row>
    <row r="11" spans="1:32" x14ac:dyDescent="0.25">
      <c r="A11" s="32" t="s">
        <v>80</v>
      </c>
      <c r="B11" s="38">
        <f t="shared" ref="B11:C11" si="9">B10*COS(PI()/$B$2)</f>
        <v>2.6562960222949377</v>
      </c>
      <c r="C11" s="38">
        <f t="shared" si="9"/>
        <v>3.139258935439472</v>
      </c>
      <c r="D11" s="38">
        <f t="shared" ref="D11:F11" si="10">D10*COS(PI()/$B$2)</f>
        <v>3.6222218485840063</v>
      </c>
      <c r="E11" s="38">
        <f t="shared" si="10"/>
        <v>4.1051847617285402</v>
      </c>
      <c r="F11" s="38">
        <f t="shared" si="10"/>
        <v>4.5881476748730741</v>
      </c>
      <c r="G11" s="38">
        <f t="shared" ref="G11:M11" si="11">G10*COS(PI()/$B$2)</f>
        <v>5.0711105880176088</v>
      </c>
      <c r="H11" s="38">
        <f t="shared" si="11"/>
        <v>5.5540735011621427</v>
      </c>
      <c r="I11" s="38">
        <f t="shared" si="11"/>
        <v>6.0370364143066766</v>
      </c>
      <c r="J11" s="38">
        <f t="shared" si="11"/>
        <v>6.5199993274512114</v>
      </c>
      <c r="K11" s="38">
        <f t="shared" si="11"/>
        <v>7.0029622405957452</v>
      </c>
      <c r="L11" s="38">
        <f t="shared" si="11"/>
        <v>7.4859251537402791</v>
      </c>
      <c r="M11" s="38">
        <f t="shared" si="11"/>
        <v>7.9688880668848139</v>
      </c>
      <c r="N11" s="38">
        <f t="shared" ref="N11:AF11" si="12">N10*COS(PI()/$B$2)</f>
        <v>8.4518509800293469</v>
      </c>
      <c r="O11" s="38">
        <f t="shared" si="12"/>
        <v>8.9348138931738816</v>
      </c>
      <c r="P11" s="38">
        <f t="shared" si="12"/>
        <v>9.4177768063184164</v>
      </c>
      <c r="Q11" s="38">
        <f t="shared" si="12"/>
        <v>9.9007397194629494</v>
      </c>
      <c r="R11" s="38">
        <f t="shared" si="12"/>
        <v>10.383702632607484</v>
      </c>
      <c r="S11" s="38">
        <f t="shared" si="12"/>
        <v>10.866665545752019</v>
      </c>
      <c r="T11" s="38">
        <f t="shared" si="12"/>
        <v>11.349628458896552</v>
      </c>
      <c r="U11" s="38">
        <f t="shared" si="12"/>
        <v>11.832591372041087</v>
      </c>
      <c r="V11" s="38">
        <f t="shared" si="12"/>
        <v>12.315554285185621</v>
      </c>
      <c r="W11" s="38">
        <f t="shared" si="12"/>
        <v>12.798517198330154</v>
      </c>
      <c r="X11" s="38">
        <f t="shared" si="12"/>
        <v>13.281480111474689</v>
      </c>
      <c r="Y11" s="38">
        <f t="shared" si="12"/>
        <v>13.764443024619224</v>
      </c>
      <c r="Z11" s="38">
        <f t="shared" si="12"/>
        <v>14.247405937763757</v>
      </c>
      <c r="AA11" s="38">
        <f t="shared" si="12"/>
        <v>14.730368850908292</v>
      </c>
      <c r="AB11" s="38">
        <f t="shared" si="12"/>
        <v>15.213331764052827</v>
      </c>
      <c r="AC11" s="38">
        <f t="shared" si="12"/>
        <v>15.696294677197359</v>
      </c>
      <c r="AD11" s="38">
        <f t="shared" si="12"/>
        <v>16.179257590341894</v>
      </c>
      <c r="AE11" s="38">
        <f t="shared" si="12"/>
        <v>16.662220503486427</v>
      </c>
      <c r="AF11" s="38">
        <f t="shared" si="12"/>
        <v>17.145183416630964</v>
      </c>
    </row>
    <row r="12" spans="1:32" x14ac:dyDescent="0.25">
      <c r="A12" s="28" t="s">
        <v>79</v>
      </c>
      <c r="B12" s="41">
        <f t="shared" ref="B12:C12" si="13">2*B10*SIN(PI()/$B$2)</f>
        <v>1.4235047480638641</v>
      </c>
      <c r="C12" s="41">
        <f t="shared" si="13"/>
        <v>1.6823237931663848</v>
      </c>
      <c r="D12" s="41">
        <f t="shared" ref="D12:F12" si="14">2*D10*SIN(PI()/$B$2)</f>
        <v>1.9411428382689055</v>
      </c>
      <c r="E12" s="41">
        <f t="shared" si="14"/>
        <v>2.1999618833714263</v>
      </c>
      <c r="F12" s="41">
        <f t="shared" si="14"/>
        <v>2.458780928473947</v>
      </c>
      <c r="G12" s="41">
        <f t="shared" ref="G12:M12" si="15">2*G10*SIN(PI()/$B$2)</f>
        <v>2.7175999735764678</v>
      </c>
      <c r="H12" s="41">
        <f t="shared" si="15"/>
        <v>2.9764190186789885</v>
      </c>
      <c r="I12" s="41">
        <f t="shared" si="15"/>
        <v>3.2352380637815092</v>
      </c>
      <c r="J12" s="41">
        <f t="shared" si="15"/>
        <v>3.49405710888403</v>
      </c>
      <c r="K12" s="41">
        <f t="shared" si="15"/>
        <v>3.7528761539865507</v>
      </c>
      <c r="L12" s="41">
        <f t="shared" si="15"/>
        <v>4.0116951990890719</v>
      </c>
      <c r="M12" s="41">
        <f t="shared" si="15"/>
        <v>4.2705142441915918</v>
      </c>
      <c r="N12" s="41">
        <f t="shared" ref="N12:AF12" si="16">2*N10*SIN(PI()/$B$2)</f>
        <v>4.5293332892941134</v>
      </c>
      <c r="O12" s="41">
        <f t="shared" si="16"/>
        <v>4.7881523343966332</v>
      </c>
      <c r="P12" s="41">
        <f t="shared" si="16"/>
        <v>5.0469713794991549</v>
      </c>
      <c r="Q12" s="41">
        <f t="shared" si="16"/>
        <v>5.3057904246016747</v>
      </c>
      <c r="R12" s="41">
        <f t="shared" si="16"/>
        <v>5.5646094697041963</v>
      </c>
      <c r="S12" s="41">
        <f t="shared" si="16"/>
        <v>5.8234285148067162</v>
      </c>
      <c r="T12" s="41">
        <f t="shared" si="16"/>
        <v>6.0822475599092378</v>
      </c>
      <c r="U12" s="41">
        <f t="shared" si="16"/>
        <v>6.3410666050117577</v>
      </c>
      <c r="V12" s="41">
        <f t="shared" si="16"/>
        <v>6.5998856501142793</v>
      </c>
      <c r="W12" s="41">
        <f t="shared" si="16"/>
        <v>6.8587046952167992</v>
      </c>
      <c r="X12" s="41">
        <f t="shared" si="16"/>
        <v>7.1175237403193208</v>
      </c>
      <c r="Y12" s="41">
        <f t="shared" si="16"/>
        <v>7.3763427854218406</v>
      </c>
      <c r="Z12" s="41">
        <f t="shared" si="16"/>
        <v>7.6351618305243623</v>
      </c>
      <c r="AA12" s="41">
        <f t="shared" si="16"/>
        <v>7.8939808756268821</v>
      </c>
      <c r="AB12" s="41">
        <f t="shared" si="16"/>
        <v>8.1527999207294037</v>
      </c>
      <c r="AC12" s="41">
        <f t="shared" si="16"/>
        <v>8.4116189658319236</v>
      </c>
      <c r="AD12" s="41">
        <f t="shared" si="16"/>
        <v>8.6704380109344452</v>
      </c>
      <c r="AE12" s="41">
        <f t="shared" si="16"/>
        <v>8.9292570560369651</v>
      </c>
      <c r="AF12" s="41">
        <f t="shared" si="16"/>
        <v>9.1880761011394867</v>
      </c>
    </row>
    <row r="13" spans="1:32" x14ac:dyDescent="0.25">
      <c r="A13" s="28" t="s">
        <v>78</v>
      </c>
      <c r="B13" s="41">
        <f t="shared" ref="B13:C13" si="17">2*(B11+$B$1)*TAN(PI()/$B$2)</f>
        <v>1.8254285367105481</v>
      </c>
      <c r="C13" s="41">
        <f t="shared" si="17"/>
        <v>2.0842475818130688</v>
      </c>
      <c r="D13" s="41">
        <f t="shared" ref="D13:F13" si="18">2*(D11+$B$1)*TAN(PI()/$B$2)</f>
        <v>2.34306662691559</v>
      </c>
      <c r="E13" s="41">
        <f t="shared" si="18"/>
        <v>2.6018856720181103</v>
      </c>
      <c r="F13" s="41">
        <f t="shared" si="18"/>
        <v>2.860704717120631</v>
      </c>
      <c r="G13" s="41">
        <f t="shared" ref="G13:M13" si="19">2*(G11+$B$1)*TAN(PI()/$B$2)</f>
        <v>3.1195237622231522</v>
      </c>
      <c r="H13" s="41">
        <f t="shared" si="19"/>
        <v>3.3783428073256729</v>
      </c>
      <c r="I13" s="41">
        <f t="shared" si="19"/>
        <v>3.6371618524281932</v>
      </c>
      <c r="J13" s="41">
        <f t="shared" si="19"/>
        <v>3.8959808975307144</v>
      </c>
      <c r="K13" s="41">
        <f t="shared" si="19"/>
        <v>4.1547999426332352</v>
      </c>
      <c r="L13" s="41">
        <f t="shared" si="19"/>
        <v>4.4136189877357559</v>
      </c>
      <c r="M13" s="41">
        <f t="shared" si="19"/>
        <v>4.6724380328382766</v>
      </c>
      <c r="N13" s="41">
        <f t="shared" ref="N13:AF13" si="20">2*(N11+$B$1)*TAN(PI()/$B$2)</f>
        <v>4.9312570779407965</v>
      </c>
      <c r="O13" s="41">
        <f t="shared" si="20"/>
        <v>5.1900761230433181</v>
      </c>
      <c r="P13" s="41">
        <f t="shared" si="20"/>
        <v>5.4488951681458389</v>
      </c>
      <c r="Q13" s="41">
        <f t="shared" si="20"/>
        <v>5.7077142132483596</v>
      </c>
      <c r="R13" s="41">
        <f t="shared" si="20"/>
        <v>5.9665332583508803</v>
      </c>
      <c r="S13" s="41">
        <f t="shared" si="20"/>
        <v>6.2253523034534011</v>
      </c>
      <c r="T13" s="41">
        <f t="shared" si="20"/>
        <v>6.4841713485559218</v>
      </c>
      <c r="U13" s="41">
        <f t="shared" si="20"/>
        <v>6.7429903936584425</v>
      </c>
      <c r="V13" s="41">
        <f t="shared" si="20"/>
        <v>7.0018094387609633</v>
      </c>
      <c r="W13" s="41">
        <f t="shared" si="20"/>
        <v>7.260628483863484</v>
      </c>
      <c r="X13" s="41">
        <f t="shared" si="20"/>
        <v>7.5194475289660048</v>
      </c>
      <c r="Y13" s="41">
        <f t="shared" si="20"/>
        <v>7.7782665740685264</v>
      </c>
      <c r="Z13" s="41">
        <f t="shared" si="20"/>
        <v>8.0370856191710462</v>
      </c>
      <c r="AA13" s="41">
        <f t="shared" si="20"/>
        <v>8.2959046642735679</v>
      </c>
      <c r="AB13" s="41">
        <f t="shared" si="20"/>
        <v>8.5547237093760877</v>
      </c>
      <c r="AC13" s="41">
        <f t="shared" si="20"/>
        <v>8.8135427544786076</v>
      </c>
      <c r="AD13" s="41">
        <f t="shared" si="20"/>
        <v>9.0723617995811292</v>
      </c>
      <c r="AE13" s="41">
        <f t="shared" si="20"/>
        <v>9.3311808446836491</v>
      </c>
      <c r="AF13" s="41">
        <f t="shared" si="20"/>
        <v>9.5899998897861725</v>
      </c>
    </row>
    <row r="14" spans="1:32" x14ac:dyDescent="0.25">
      <c r="A14" s="4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x14ac:dyDescent="0.25">
      <c r="A15" s="34" t="s">
        <v>131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5">
      <c r="A16" s="62" t="s">
        <v>132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61" t="s">
        <v>133</v>
      </c>
      <c r="B17" s="72" t="s">
        <v>134</v>
      </c>
      <c r="C17" s="72"/>
      <c r="D17" s="72"/>
      <c r="E17" s="73" t="s">
        <v>135</v>
      </c>
      <c r="F17" s="73"/>
      <c r="G17" s="63">
        <v>0.75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28" t="s">
        <v>77</v>
      </c>
      <c r="B18" s="38">
        <f t="shared" ref="B18:C18" si="21">B13+$F$3</f>
        <v>1.8254285367105481</v>
      </c>
      <c r="C18" s="38">
        <f t="shared" si="21"/>
        <v>2.0842475818130688</v>
      </c>
      <c r="D18" s="38">
        <f>D13+$F$3</f>
        <v>2.34306662691559</v>
      </c>
      <c r="E18" s="38">
        <f>E13+$F$3</f>
        <v>2.6018856720181103</v>
      </c>
      <c r="F18" s="38">
        <f>F13+$F$3</f>
        <v>2.860704717120631</v>
      </c>
      <c r="G18" s="38">
        <f t="shared" ref="G18:M18" si="22">G13+$F$3</f>
        <v>3.1195237622231522</v>
      </c>
      <c r="H18" s="38">
        <f t="shared" si="22"/>
        <v>3.3783428073256729</v>
      </c>
      <c r="I18" s="38">
        <f t="shared" si="22"/>
        <v>3.6371618524281932</v>
      </c>
      <c r="J18" s="38">
        <f t="shared" si="22"/>
        <v>3.8959808975307144</v>
      </c>
      <c r="K18" s="38">
        <f t="shared" si="22"/>
        <v>4.1547999426332352</v>
      </c>
      <c r="L18" s="38">
        <f t="shared" si="22"/>
        <v>4.4136189877357559</v>
      </c>
      <c r="M18" s="38">
        <f t="shared" si="22"/>
        <v>4.6724380328382766</v>
      </c>
      <c r="N18" s="38">
        <f t="shared" ref="N18:AF18" si="23">N13+$F$3</f>
        <v>4.9312570779407965</v>
      </c>
      <c r="O18" s="38">
        <f t="shared" si="23"/>
        <v>5.1900761230433181</v>
      </c>
      <c r="P18" s="38">
        <f t="shared" si="23"/>
        <v>5.4488951681458389</v>
      </c>
      <c r="Q18" s="38">
        <f t="shared" si="23"/>
        <v>5.7077142132483596</v>
      </c>
      <c r="R18" s="38">
        <f t="shared" si="23"/>
        <v>5.9665332583508803</v>
      </c>
      <c r="S18" s="38">
        <f t="shared" si="23"/>
        <v>6.2253523034534011</v>
      </c>
      <c r="T18" s="38">
        <f t="shared" si="23"/>
        <v>6.4841713485559218</v>
      </c>
      <c r="U18" s="38">
        <f t="shared" si="23"/>
        <v>6.7429903936584425</v>
      </c>
      <c r="V18" s="38">
        <f t="shared" si="23"/>
        <v>7.0018094387609633</v>
      </c>
      <c r="W18" s="38">
        <f t="shared" si="23"/>
        <v>7.260628483863484</v>
      </c>
      <c r="X18" s="38">
        <f t="shared" si="23"/>
        <v>7.5194475289660048</v>
      </c>
      <c r="Y18" s="38">
        <f t="shared" si="23"/>
        <v>7.7782665740685264</v>
      </c>
      <c r="Z18" s="38">
        <f t="shared" si="23"/>
        <v>8.0370856191710462</v>
      </c>
      <c r="AA18" s="38">
        <f t="shared" si="23"/>
        <v>8.2959046642735679</v>
      </c>
      <c r="AB18" s="38">
        <f t="shared" si="23"/>
        <v>8.5547237093760877</v>
      </c>
      <c r="AC18" s="38">
        <f t="shared" si="23"/>
        <v>8.8135427544786076</v>
      </c>
      <c r="AD18" s="38">
        <f t="shared" si="23"/>
        <v>9.0723617995811292</v>
      </c>
      <c r="AE18" s="38">
        <f t="shared" si="23"/>
        <v>9.3311808446836491</v>
      </c>
      <c r="AF18" s="38">
        <f t="shared" si="23"/>
        <v>9.5899998897861725</v>
      </c>
    </row>
    <row r="19" spans="1:32" x14ac:dyDescent="0.25">
      <c r="A19" s="28" t="s">
        <v>76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 x14ac:dyDescent="0.25">
      <c r="A20" s="28" t="s">
        <v>75</v>
      </c>
      <c r="B20" s="38">
        <f t="shared" ref="B20:C20" si="24">B18+B12+$F$3+$J$1</f>
        <v>3.3439332847744123</v>
      </c>
      <c r="C20" s="38">
        <f t="shared" si="24"/>
        <v>3.8615713749794538</v>
      </c>
      <c r="D20" s="38">
        <f>D18+D12+$F$3+$J$1</f>
        <v>4.3792094651844957</v>
      </c>
      <c r="E20" s="38">
        <f>E18+E12+$F$3+$J$1</f>
        <v>4.8968475553895363</v>
      </c>
      <c r="F20" s="38">
        <f>F18+F12+$F$3+$J$1</f>
        <v>5.4144856455945778</v>
      </c>
      <c r="G20" s="38">
        <f t="shared" ref="G20:M20" si="25">G18+G12+$F$3+$J$1</f>
        <v>5.9321237357996202</v>
      </c>
      <c r="H20" s="38">
        <f t="shared" si="25"/>
        <v>6.4497618260046616</v>
      </c>
      <c r="I20" s="38">
        <f t="shared" si="25"/>
        <v>6.9673999162097022</v>
      </c>
      <c r="J20" s="38">
        <f t="shared" si="25"/>
        <v>7.4850380064147446</v>
      </c>
      <c r="K20" s="38">
        <f t="shared" si="25"/>
        <v>8.002676096619787</v>
      </c>
      <c r="L20" s="38">
        <f t="shared" si="25"/>
        <v>8.5203141868248284</v>
      </c>
      <c r="M20" s="38">
        <f t="shared" si="25"/>
        <v>9.0379522770298681</v>
      </c>
      <c r="N20" s="38">
        <f t="shared" ref="N20:AF20" si="26">N18+N12+$F$3+$J$1</f>
        <v>9.5555903672349114</v>
      </c>
      <c r="O20" s="38">
        <f t="shared" si="26"/>
        <v>10.073228457439951</v>
      </c>
      <c r="P20" s="38">
        <f t="shared" si="26"/>
        <v>10.590866547644994</v>
      </c>
      <c r="Q20" s="38">
        <f t="shared" si="26"/>
        <v>11.108504637850034</v>
      </c>
      <c r="R20" s="38">
        <f t="shared" si="26"/>
        <v>11.626142728055077</v>
      </c>
      <c r="S20" s="38">
        <f t="shared" si="26"/>
        <v>12.143780818260117</v>
      </c>
      <c r="T20" s="38">
        <f t="shared" si="26"/>
        <v>12.66141890846516</v>
      </c>
      <c r="U20" s="38">
        <f t="shared" si="26"/>
        <v>13.1790569986702</v>
      </c>
      <c r="V20" s="38">
        <f t="shared" si="26"/>
        <v>13.696695088875243</v>
      </c>
      <c r="W20" s="38">
        <f t="shared" si="26"/>
        <v>14.214333179080283</v>
      </c>
      <c r="X20" s="38">
        <f t="shared" si="26"/>
        <v>14.731971269285326</v>
      </c>
      <c r="Y20" s="38">
        <f t="shared" si="26"/>
        <v>15.249609359490368</v>
      </c>
      <c r="Z20" s="38">
        <f t="shared" si="26"/>
        <v>15.767247449695409</v>
      </c>
      <c r="AA20" s="38">
        <f t="shared" si="26"/>
        <v>16.284885539900451</v>
      </c>
      <c r="AB20" s="38">
        <f t="shared" si="26"/>
        <v>16.80252363010549</v>
      </c>
      <c r="AC20" s="38">
        <f t="shared" si="26"/>
        <v>17.32016172031053</v>
      </c>
      <c r="AD20" s="38">
        <f t="shared" si="26"/>
        <v>17.837799810515573</v>
      </c>
      <c r="AE20" s="38">
        <f t="shared" si="26"/>
        <v>18.355437900720613</v>
      </c>
      <c r="AF20" s="38">
        <f t="shared" si="26"/>
        <v>18.873075990925656</v>
      </c>
    </row>
    <row r="21" spans="1:32" x14ac:dyDescent="0.25">
      <c r="A21" s="28" t="s">
        <v>74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 x14ac:dyDescent="0.25">
      <c r="A22" s="28" t="s">
        <v>73</v>
      </c>
      <c r="B22" s="38">
        <f t="shared" ref="B22:C22" si="27">B18*2+2*$J$1+B12+$F$3</f>
        <v>5.2643618214849601</v>
      </c>
      <c r="C22" s="38">
        <f t="shared" si="27"/>
        <v>6.0408189567925223</v>
      </c>
      <c r="D22" s="38">
        <f>D18*2+2*$J$1+D12+$F$3</f>
        <v>6.8172760921000854</v>
      </c>
      <c r="E22" s="38">
        <f>E18*2+2*$J$1+E12+$F$3</f>
        <v>7.5937332274076468</v>
      </c>
      <c r="F22" s="38">
        <f>F18*2+2*$J$1+F12+$F$3</f>
        <v>8.3701903627152099</v>
      </c>
      <c r="G22" s="38">
        <f t="shared" ref="G22:M22" si="28">G18*2+2*$J$1+G12+$F$3</f>
        <v>9.146647498022773</v>
      </c>
      <c r="H22" s="38">
        <f t="shared" si="28"/>
        <v>9.9231046333303343</v>
      </c>
      <c r="I22" s="38">
        <f t="shared" si="28"/>
        <v>10.699561768637896</v>
      </c>
      <c r="J22" s="38">
        <f t="shared" si="28"/>
        <v>11.476018903945459</v>
      </c>
      <c r="K22" s="38">
        <f t="shared" si="28"/>
        <v>12.25247603925302</v>
      </c>
      <c r="L22" s="38">
        <f t="shared" si="28"/>
        <v>13.028933174560583</v>
      </c>
      <c r="M22" s="38">
        <f t="shared" si="28"/>
        <v>13.805390309868145</v>
      </c>
      <c r="N22" s="38">
        <f t="shared" ref="N22:AF22" si="29">N18*2+2*$J$1+N12+$F$3</f>
        <v>14.581847445175706</v>
      </c>
      <c r="O22" s="38">
        <f t="shared" si="29"/>
        <v>15.358304580483269</v>
      </c>
      <c r="P22" s="38">
        <f t="shared" si="29"/>
        <v>16.13476171579083</v>
      </c>
      <c r="Q22" s="38">
        <f t="shared" si="29"/>
        <v>16.911218851098393</v>
      </c>
      <c r="R22" s="38">
        <f t="shared" si="29"/>
        <v>17.687675986405957</v>
      </c>
      <c r="S22" s="38">
        <f t="shared" si="29"/>
        <v>18.464133121713516</v>
      </c>
      <c r="T22" s="38">
        <f t="shared" si="29"/>
        <v>19.240590257021083</v>
      </c>
      <c r="U22" s="38">
        <f t="shared" si="29"/>
        <v>20.017047392328642</v>
      </c>
      <c r="V22" s="38">
        <f t="shared" si="29"/>
        <v>20.793504527636205</v>
      </c>
      <c r="W22" s="38">
        <f t="shared" si="29"/>
        <v>21.569961662943768</v>
      </c>
      <c r="X22" s="38">
        <f t="shared" si="29"/>
        <v>22.346418798251328</v>
      </c>
      <c r="Y22" s="38">
        <f t="shared" si="29"/>
        <v>23.122875933558895</v>
      </c>
      <c r="Z22" s="38">
        <f t="shared" si="29"/>
        <v>23.899333068866454</v>
      </c>
      <c r="AA22" s="38">
        <f t="shared" si="29"/>
        <v>24.675790204174021</v>
      </c>
      <c r="AB22" s="38">
        <f t="shared" si="29"/>
        <v>25.45224733948158</v>
      </c>
      <c r="AC22" s="38">
        <f t="shared" si="29"/>
        <v>26.22870447478914</v>
      </c>
      <c r="AD22" s="38">
        <f t="shared" si="29"/>
        <v>27.005161610096707</v>
      </c>
      <c r="AE22" s="38">
        <f t="shared" si="29"/>
        <v>27.781618745404266</v>
      </c>
      <c r="AF22" s="38">
        <f t="shared" si="29"/>
        <v>28.558075880711833</v>
      </c>
    </row>
    <row r="23" spans="1:32" x14ac:dyDescent="0.25">
      <c r="A23" s="28" t="s">
        <v>72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spans="1:32" x14ac:dyDescent="0.25">
      <c r="A24" s="28" t="s">
        <v>71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spans="1:32" x14ac:dyDescent="0.25">
      <c r="A25" s="4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</row>
    <row r="26" spans="1:32" x14ac:dyDescent="0.25">
      <c r="A26" s="37" t="s">
        <v>128</v>
      </c>
    </row>
    <row r="27" spans="1:32" x14ac:dyDescent="0.25">
      <c r="A27" s="37"/>
    </row>
    <row r="28" spans="1:32" x14ac:dyDescent="0.25">
      <c r="A28" s="37"/>
    </row>
    <row r="29" spans="1:32" x14ac:dyDescent="0.25">
      <c r="A29" s="37" t="s">
        <v>128</v>
      </c>
    </row>
    <row r="30" spans="1:32" x14ac:dyDescent="0.25">
      <c r="A30" s="28" t="s">
        <v>129</v>
      </c>
      <c r="B30" s="36">
        <f>ROUNDUP($B$1*B13*B8*$B$2,0)</f>
        <v>161</v>
      </c>
      <c r="C30" s="36">
        <f t="shared" ref="C30:AF30" si="30">ROUNDUP($B$1*C13*C8*$B$2,0)</f>
        <v>212</v>
      </c>
      <c r="D30" s="36">
        <f t="shared" si="30"/>
        <v>269</v>
      </c>
      <c r="E30" s="36">
        <f t="shared" si="30"/>
        <v>334</v>
      </c>
      <c r="F30" s="36">
        <f t="shared" si="30"/>
        <v>406</v>
      </c>
      <c r="G30" s="36">
        <f t="shared" si="30"/>
        <v>485</v>
      </c>
      <c r="H30" s="36">
        <f t="shared" si="30"/>
        <v>571</v>
      </c>
      <c r="I30" s="36">
        <f t="shared" si="30"/>
        <v>663</v>
      </c>
      <c r="J30" s="36">
        <f t="shared" si="30"/>
        <v>763</v>
      </c>
      <c r="K30" s="36">
        <f t="shared" si="30"/>
        <v>870</v>
      </c>
      <c r="L30" s="36">
        <f t="shared" si="30"/>
        <v>984</v>
      </c>
      <c r="M30" s="36">
        <f t="shared" si="30"/>
        <v>1104</v>
      </c>
      <c r="N30" s="36">
        <f t="shared" si="30"/>
        <v>1232</v>
      </c>
      <c r="O30" s="36">
        <f t="shared" si="30"/>
        <v>1367</v>
      </c>
      <c r="P30" s="36">
        <f t="shared" si="30"/>
        <v>1508</v>
      </c>
      <c r="Q30" s="36">
        <f t="shared" si="30"/>
        <v>1657</v>
      </c>
      <c r="R30" s="36">
        <f t="shared" si="30"/>
        <v>1813</v>
      </c>
      <c r="S30" s="36">
        <f t="shared" si="30"/>
        <v>1975</v>
      </c>
      <c r="T30" s="36">
        <f t="shared" si="30"/>
        <v>2145</v>
      </c>
      <c r="U30" s="36">
        <f t="shared" si="30"/>
        <v>2322</v>
      </c>
      <c r="V30" s="36">
        <f t="shared" si="30"/>
        <v>2505</v>
      </c>
      <c r="W30" s="36">
        <f t="shared" si="30"/>
        <v>2696</v>
      </c>
      <c r="X30" s="36">
        <f t="shared" si="30"/>
        <v>2894</v>
      </c>
      <c r="Y30" s="36">
        <f t="shared" si="30"/>
        <v>3098</v>
      </c>
      <c r="Z30" s="36">
        <f t="shared" si="30"/>
        <v>3310</v>
      </c>
      <c r="AA30" s="36">
        <f t="shared" si="30"/>
        <v>3528</v>
      </c>
      <c r="AB30" s="36">
        <f t="shared" si="30"/>
        <v>3754</v>
      </c>
      <c r="AC30" s="36">
        <f t="shared" si="30"/>
        <v>3986</v>
      </c>
      <c r="AD30" s="36">
        <f t="shared" si="30"/>
        <v>4226</v>
      </c>
      <c r="AE30" s="36">
        <f t="shared" si="30"/>
        <v>4472</v>
      </c>
      <c r="AF30" s="36">
        <f t="shared" si="30"/>
        <v>4726</v>
      </c>
    </row>
    <row r="31" spans="1:32" x14ac:dyDescent="0.25">
      <c r="A31" s="28" t="s">
        <v>70</v>
      </c>
      <c r="B31" s="35">
        <f t="shared" ref="B31" si="31">B30*($F$4+$J$4)</f>
        <v>16.100000000000001</v>
      </c>
      <c r="C31" s="35">
        <f t="shared" ref="C31:AF31" si="32">C30*($F$4+$J$4)</f>
        <v>21.200000000000003</v>
      </c>
      <c r="D31" s="35">
        <f t="shared" si="32"/>
        <v>26.900000000000002</v>
      </c>
      <c r="E31" s="35">
        <f t="shared" si="32"/>
        <v>33.4</v>
      </c>
      <c r="F31" s="35">
        <f t="shared" si="32"/>
        <v>40.6</v>
      </c>
      <c r="G31" s="35">
        <f t="shared" si="32"/>
        <v>48.5</v>
      </c>
      <c r="H31" s="35">
        <f t="shared" si="32"/>
        <v>57.1</v>
      </c>
      <c r="I31" s="35">
        <f t="shared" si="32"/>
        <v>66.3</v>
      </c>
      <c r="J31" s="35">
        <f t="shared" si="32"/>
        <v>76.3</v>
      </c>
      <c r="K31" s="35">
        <f t="shared" si="32"/>
        <v>87</v>
      </c>
      <c r="L31" s="35">
        <f t="shared" si="32"/>
        <v>98.4</v>
      </c>
      <c r="M31" s="35">
        <f t="shared" si="32"/>
        <v>110.4</v>
      </c>
      <c r="N31" s="35">
        <f t="shared" si="32"/>
        <v>123.2</v>
      </c>
      <c r="O31" s="35">
        <f t="shared" si="32"/>
        <v>136.70000000000002</v>
      </c>
      <c r="P31" s="35">
        <f t="shared" si="32"/>
        <v>150.80000000000001</v>
      </c>
      <c r="Q31" s="35">
        <f t="shared" si="32"/>
        <v>165.70000000000002</v>
      </c>
      <c r="R31" s="35">
        <f t="shared" si="32"/>
        <v>181.3</v>
      </c>
      <c r="S31" s="35">
        <f t="shared" si="32"/>
        <v>197.5</v>
      </c>
      <c r="T31" s="35">
        <f t="shared" si="32"/>
        <v>214.5</v>
      </c>
      <c r="U31" s="35">
        <f t="shared" si="32"/>
        <v>232.20000000000002</v>
      </c>
      <c r="V31" s="35">
        <f t="shared" si="32"/>
        <v>250.5</v>
      </c>
      <c r="W31" s="35">
        <f t="shared" si="32"/>
        <v>269.60000000000002</v>
      </c>
      <c r="X31" s="35">
        <f t="shared" si="32"/>
        <v>289.40000000000003</v>
      </c>
      <c r="Y31" s="35">
        <f t="shared" si="32"/>
        <v>309.8</v>
      </c>
      <c r="Z31" s="35">
        <f t="shared" si="32"/>
        <v>331</v>
      </c>
      <c r="AA31" s="35">
        <f t="shared" si="32"/>
        <v>352.8</v>
      </c>
      <c r="AB31" s="35">
        <f t="shared" si="32"/>
        <v>375.40000000000003</v>
      </c>
      <c r="AC31" s="35">
        <f t="shared" si="32"/>
        <v>398.6</v>
      </c>
      <c r="AD31" s="35">
        <f t="shared" si="32"/>
        <v>422.6</v>
      </c>
      <c r="AE31" s="35">
        <f t="shared" si="32"/>
        <v>447.20000000000005</v>
      </c>
      <c r="AF31" s="35">
        <f t="shared" si="32"/>
        <v>472.6</v>
      </c>
    </row>
    <row r="32" spans="1:32" x14ac:dyDescent="0.25">
      <c r="A32" s="37" t="s">
        <v>130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</row>
    <row r="33" spans="1:32" x14ac:dyDescent="0.25">
      <c r="A33" s="28" t="s">
        <v>129</v>
      </c>
      <c r="B33" s="36">
        <f>ROUNDUP($B$1*B18*B11*$B$2,0)</f>
        <v>44</v>
      </c>
      <c r="C33" s="36">
        <f t="shared" ref="C33:AF33" si="33">ROUNDUP($B$1*C18*C11*$B$2,0)</f>
        <v>59</v>
      </c>
      <c r="D33" s="36">
        <f t="shared" si="33"/>
        <v>77</v>
      </c>
      <c r="E33" s="36">
        <f t="shared" si="33"/>
        <v>97</v>
      </c>
      <c r="F33" s="36">
        <f t="shared" si="33"/>
        <v>119</v>
      </c>
      <c r="G33" s="36">
        <f t="shared" si="33"/>
        <v>143</v>
      </c>
      <c r="H33" s="36">
        <f t="shared" si="33"/>
        <v>169</v>
      </c>
      <c r="I33" s="36">
        <f t="shared" si="33"/>
        <v>198</v>
      </c>
      <c r="J33" s="36">
        <f t="shared" si="33"/>
        <v>229</v>
      </c>
      <c r="K33" s="36">
        <f t="shared" si="33"/>
        <v>262</v>
      </c>
      <c r="L33" s="36">
        <f t="shared" si="33"/>
        <v>298</v>
      </c>
      <c r="M33" s="36">
        <f t="shared" si="33"/>
        <v>336</v>
      </c>
      <c r="N33" s="36">
        <f t="shared" si="33"/>
        <v>376</v>
      </c>
      <c r="O33" s="36">
        <f t="shared" si="33"/>
        <v>418</v>
      </c>
      <c r="P33" s="36">
        <f t="shared" si="33"/>
        <v>462</v>
      </c>
      <c r="Q33" s="36">
        <f t="shared" si="33"/>
        <v>509</v>
      </c>
      <c r="R33" s="36">
        <f t="shared" si="33"/>
        <v>558</v>
      </c>
      <c r="S33" s="36">
        <f t="shared" si="33"/>
        <v>609</v>
      </c>
      <c r="T33" s="36">
        <f t="shared" si="33"/>
        <v>663</v>
      </c>
      <c r="U33" s="36">
        <f t="shared" si="33"/>
        <v>719</v>
      </c>
      <c r="V33" s="36">
        <f t="shared" si="33"/>
        <v>777</v>
      </c>
      <c r="W33" s="36">
        <f t="shared" si="33"/>
        <v>837</v>
      </c>
      <c r="X33" s="36">
        <f t="shared" si="33"/>
        <v>899</v>
      </c>
      <c r="Y33" s="36">
        <f t="shared" si="33"/>
        <v>964</v>
      </c>
      <c r="Z33" s="36">
        <f t="shared" si="33"/>
        <v>1031</v>
      </c>
      <c r="AA33" s="36">
        <f t="shared" si="33"/>
        <v>1100</v>
      </c>
      <c r="AB33" s="36">
        <f t="shared" si="33"/>
        <v>1172</v>
      </c>
      <c r="AC33" s="36">
        <f t="shared" si="33"/>
        <v>1246</v>
      </c>
      <c r="AD33" s="36">
        <f t="shared" si="33"/>
        <v>1322</v>
      </c>
      <c r="AE33" s="36">
        <f t="shared" si="33"/>
        <v>1400</v>
      </c>
      <c r="AF33" s="36">
        <f t="shared" si="33"/>
        <v>1480</v>
      </c>
    </row>
    <row r="34" spans="1:32" x14ac:dyDescent="0.25">
      <c r="A34" s="28" t="s">
        <v>70</v>
      </c>
      <c r="B34" s="35">
        <f t="shared" ref="B34:AF34" si="34">B33*($F$4+$J$4)</f>
        <v>4.4000000000000004</v>
      </c>
      <c r="C34" s="35">
        <f t="shared" si="34"/>
        <v>5.9</v>
      </c>
      <c r="D34" s="35">
        <f t="shared" si="34"/>
        <v>7.7</v>
      </c>
      <c r="E34" s="35">
        <f t="shared" si="34"/>
        <v>9.7000000000000011</v>
      </c>
      <c r="F34" s="35">
        <f t="shared" si="34"/>
        <v>11.9</v>
      </c>
      <c r="G34" s="35">
        <f t="shared" si="34"/>
        <v>14.3</v>
      </c>
      <c r="H34" s="35">
        <f t="shared" si="34"/>
        <v>16.900000000000002</v>
      </c>
      <c r="I34" s="35">
        <f t="shared" si="34"/>
        <v>19.8</v>
      </c>
      <c r="J34" s="35">
        <f t="shared" si="34"/>
        <v>22.900000000000002</v>
      </c>
      <c r="K34" s="35">
        <f t="shared" si="34"/>
        <v>26.200000000000003</v>
      </c>
      <c r="L34" s="35">
        <f t="shared" si="34"/>
        <v>29.8</v>
      </c>
      <c r="M34" s="35">
        <f t="shared" si="34"/>
        <v>33.6</v>
      </c>
      <c r="N34" s="35">
        <f t="shared" si="34"/>
        <v>37.6</v>
      </c>
      <c r="O34" s="35">
        <f t="shared" si="34"/>
        <v>41.800000000000004</v>
      </c>
      <c r="P34" s="35">
        <f t="shared" si="34"/>
        <v>46.2</v>
      </c>
      <c r="Q34" s="35">
        <f t="shared" si="34"/>
        <v>50.900000000000006</v>
      </c>
      <c r="R34" s="35">
        <f t="shared" si="34"/>
        <v>55.800000000000004</v>
      </c>
      <c r="S34" s="35">
        <f t="shared" si="34"/>
        <v>60.900000000000006</v>
      </c>
      <c r="T34" s="35">
        <f t="shared" si="34"/>
        <v>66.3</v>
      </c>
      <c r="U34" s="35">
        <f t="shared" si="34"/>
        <v>71.900000000000006</v>
      </c>
      <c r="V34" s="35">
        <f t="shared" si="34"/>
        <v>77.7</v>
      </c>
      <c r="W34" s="35">
        <f t="shared" si="34"/>
        <v>83.7</v>
      </c>
      <c r="X34" s="35">
        <f t="shared" si="34"/>
        <v>89.9</v>
      </c>
      <c r="Y34" s="35">
        <f t="shared" si="34"/>
        <v>96.4</v>
      </c>
      <c r="Z34" s="35">
        <f t="shared" si="34"/>
        <v>103.10000000000001</v>
      </c>
      <c r="AA34" s="35">
        <f t="shared" si="34"/>
        <v>110</v>
      </c>
      <c r="AB34" s="35">
        <f t="shared" si="34"/>
        <v>117.2</v>
      </c>
      <c r="AC34" s="35">
        <f t="shared" si="34"/>
        <v>124.60000000000001</v>
      </c>
      <c r="AD34" s="35">
        <f t="shared" si="34"/>
        <v>132.20000000000002</v>
      </c>
      <c r="AE34" s="35">
        <f t="shared" si="34"/>
        <v>140</v>
      </c>
      <c r="AF34" s="35">
        <f t="shared" si="34"/>
        <v>148</v>
      </c>
    </row>
    <row r="35" spans="1:32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</row>
    <row r="36" spans="1:32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</row>
    <row r="37" spans="1:32" x14ac:dyDescent="0.25">
      <c r="A37" s="40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</row>
    <row r="38" spans="1:32" x14ac:dyDescent="0.25">
      <c r="A38" s="40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</row>
    <row r="39" spans="1:32" x14ac:dyDescent="0.25">
      <c r="A39" s="40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</row>
    <row r="40" spans="1:32" x14ac:dyDescent="0.25">
      <c r="A40" s="34" t="s">
        <v>69</v>
      </c>
    </row>
    <row r="41" spans="1:32" x14ac:dyDescent="0.25">
      <c r="A41" s="7" t="s">
        <v>68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spans="1:32" x14ac:dyDescent="0.25">
      <c r="A42" s="32" t="s">
        <v>67</v>
      </c>
      <c r="B42" s="31" t="s">
        <v>66</v>
      </c>
      <c r="C42" s="30" t="s">
        <v>65</v>
      </c>
      <c r="D42" s="29" t="s">
        <v>64</v>
      </c>
      <c r="E42" s="27"/>
      <c r="I42" s="8" t="s">
        <v>63</v>
      </c>
      <c r="J42"/>
      <c r="L42"/>
    </row>
    <row r="43" spans="1:32" x14ac:dyDescent="0.25">
      <c r="A43" s="28" t="s">
        <v>62</v>
      </c>
      <c r="C43" s="27"/>
      <c r="D43" s="27"/>
      <c r="E43" s="27"/>
      <c r="F43" s="27"/>
      <c r="I43" s="22" t="s">
        <v>59</v>
      </c>
      <c r="J43" s="21"/>
      <c r="K43" s="20"/>
      <c r="L43"/>
    </row>
    <row r="44" spans="1:32" x14ac:dyDescent="0.25">
      <c r="A44" s="26" t="s">
        <v>61</v>
      </c>
      <c r="C44" s="67" t="s">
        <v>60</v>
      </c>
      <c r="D44" s="67"/>
      <c r="E44" s="67"/>
      <c r="F44" s="67"/>
      <c r="I44" s="14" t="s">
        <v>59</v>
      </c>
      <c r="J44" s="13"/>
      <c r="K44" s="12"/>
      <c r="L44"/>
    </row>
    <row r="45" spans="1:32" x14ac:dyDescent="0.25">
      <c r="A45" s="25" t="s">
        <v>59</v>
      </c>
      <c r="B45" s="18"/>
      <c r="C45" s="14" t="s">
        <v>59</v>
      </c>
      <c r="D45" s="24"/>
      <c r="E45" s="24"/>
      <c r="F45" s="23"/>
      <c r="I45" s="22" t="s">
        <v>57</v>
      </c>
      <c r="J45" s="21"/>
      <c r="K45" s="20"/>
      <c r="L45"/>
    </row>
    <row r="46" spans="1:32" x14ac:dyDescent="0.25">
      <c r="A46" s="19" t="s">
        <v>58</v>
      </c>
      <c r="B46" s="18"/>
      <c r="C46" s="17" t="s">
        <v>58</v>
      </c>
      <c r="D46" s="16"/>
      <c r="E46" s="16"/>
      <c r="F46" s="15"/>
      <c r="I46" s="14" t="s">
        <v>57</v>
      </c>
      <c r="J46" s="13"/>
      <c r="K46" s="12"/>
      <c r="L46"/>
    </row>
    <row r="47" spans="1:32" x14ac:dyDescent="0.25">
      <c r="A47" s="19" t="s">
        <v>55</v>
      </c>
      <c r="B47" s="18"/>
      <c r="C47" s="17" t="s">
        <v>55</v>
      </c>
      <c r="D47" s="16"/>
      <c r="E47" s="16"/>
      <c r="F47" s="15"/>
      <c r="I47" s="22" t="s">
        <v>55</v>
      </c>
      <c r="J47" s="21"/>
      <c r="K47" s="20"/>
      <c r="L47"/>
    </row>
    <row r="48" spans="1:32" x14ac:dyDescent="0.25">
      <c r="A48" s="19" t="s">
        <v>56</v>
      </c>
      <c r="B48" s="18"/>
      <c r="C48" s="17"/>
      <c r="D48" s="16"/>
      <c r="E48" s="16"/>
      <c r="F48" s="15"/>
      <c r="I48" s="14" t="s">
        <v>55</v>
      </c>
      <c r="J48" s="13"/>
      <c r="K48" s="12"/>
      <c r="L48"/>
    </row>
    <row r="49" spans="1:12" x14ac:dyDescent="0.25">
      <c r="A49" s="6" t="s">
        <v>54</v>
      </c>
      <c r="L49"/>
    </row>
    <row r="51" spans="1:12" x14ac:dyDescent="0.25">
      <c r="A51" s="8" t="s">
        <v>53</v>
      </c>
      <c r="B51" s="9">
        <v>10</v>
      </c>
      <c r="C51" s="9">
        <v>12</v>
      </c>
      <c r="D51" s="9">
        <v>14</v>
      </c>
      <c r="E51" s="9">
        <v>16</v>
      </c>
      <c r="F51" s="9">
        <v>18</v>
      </c>
      <c r="G51" s="9">
        <v>20</v>
      </c>
      <c r="H51" s="9">
        <v>22</v>
      </c>
      <c r="I51" s="9">
        <v>24</v>
      </c>
      <c r="J51" s="9">
        <v>26</v>
      </c>
      <c r="K51" s="9">
        <v>28</v>
      </c>
      <c r="L51"/>
    </row>
    <row r="52" spans="1:12" x14ac:dyDescent="0.25">
      <c r="A52" s="8" t="s">
        <v>52</v>
      </c>
      <c r="B52" s="9">
        <v>1</v>
      </c>
      <c r="C52" s="6">
        <v>1.25</v>
      </c>
      <c r="D52" s="11">
        <v>1.5</v>
      </c>
      <c r="E52" s="10">
        <v>1.6180000000000001</v>
      </c>
      <c r="F52" s="6">
        <v>1.75</v>
      </c>
      <c r="G52" s="10">
        <v>1.875</v>
      </c>
      <c r="H52" s="9">
        <v>2</v>
      </c>
    </row>
  </sheetData>
  <mergeCells count="12">
    <mergeCell ref="C3:E3"/>
    <mergeCell ref="G4:I4"/>
    <mergeCell ref="C44:F44"/>
    <mergeCell ref="C4:E4"/>
    <mergeCell ref="K1:L1"/>
    <mergeCell ref="C1:E1"/>
    <mergeCell ref="G1:I1"/>
    <mergeCell ref="C2:E2"/>
    <mergeCell ref="G2:I2"/>
    <mergeCell ref="G3:I3"/>
    <mergeCell ref="B17:D17"/>
    <mergeCell ref="E17:F17"/>
  </mergeCells>
  <dataValidations count="2">
    <dataValidation type="list" allowBlank="1" showInputMessage="1" showErrorMessage="1" sqref="B3">
      <formula1>$B$52:$H$52</formula1>
    </dataValidation>
    <dataValidation type="list" allowBlank="1" showInputMessage="1" showErrorMessage="1" sqref="B2">
      <formula1>$B$51:$K$51</formula1>
    </dataValidation>
  </dataValidations>
  <pageMargins left="0.7" right="0.7" top="0.75" bottom="0.75" header="0.3" footer="0.3"/>
  <pageSetup scale="85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26" sqref="A26"/>
    </sheetView>
  </sheetViews>
  <sheetFormatPr defaultColWidth="8.85546875" defaultRowHeight="15" x14ac:dyDescent="0.25"/>
  <cols>
    <col min="1" max="1" width="33.28515625" bestFit="1" customWidth="1"/>
    <col min="2" max="2" width="21.42578125" bestFit="1" customWidth="1"/>
    <col min="3" max="3" width="18.28515625" bestFit="1" customWidth="1"/>
    <col min="5" max="5" width="11.28515625" bestFit="1" customWidth="1"/>
  </cols>
  <sheetData>
    <row r="1" spans="1:5" x14ac:dyDescent="0.25">
      <c r="A1" s="7" t="s">
        <v>51</v>
      </c>
      <c r="B1" s="7" t="s">
        <v>50</v>
      </c>
      <c r="C1" s="7" t="s">
        <v>49</v>
      </c>
      <c r="D1" s="7" t="s">
        <v>48</v>
      </c>
      <c r="E1" s="7" t="s">
        <v>47</v>
      </c>
    </row>
    <row r="2" spans="1:5" x14ac:dyDescent="0.25">
      <c r="A2" t="s">
        <v>46</v>
      </c>
      <c r="B2" t="s">
        <v>23</v>
      </c>
      <c r="C2" t="s">
        <v>45</v>
      </c>
    </row>
    <row r="3" spans="1:5" x14ac:dyDescent="0.25">
      <c r="A3" t="s">
        <v>44</v>
      </c>
      <c r="B3" t="s">
        <v>43</v>
      </c>
      <c r="D3" t="s">
        <v>42</v>
      </c>
      <c r="E3" t="s">
        <v>41</v>
      </c>
    </row>
    <row r="4" spans="1:5" x14ac:dyDescent="0.25">
      <c r="A4" t="s">
        <v>40</v>
      </c>
      <c r="B4" t="s">
        <v>23</v>
      </c>
      <c r="C4" t="s">
        <v>37</v>
      </c>
      <c r="D4" t="s">
        <v>33</v>
      </c>
      <c r="E4" t="s">
        <v>39</v>
      </c>
    </row>
    <row r="5" spans="1:5" x14ac:dyDescent="0.25">
      <c r="A5" t="s">
        <v>38</v>
      </c>
      <c r="B5" t="s">
        <v>23</v>
      </c>
      <c r="C5" t="s">
        <v>37</v>
      </c>
      <c r="D5" t="s">
        <v>36</v>
      </c>
      <c r="E5" t="s">
        <v>22</v>
      </c>
    </row>
    <row r="6" spans="1:5" x14ac:dyDescent="0.25">
      <c r="A6" t="s">
        <v>35</v>
      </c>
      <c r="B6" t="s">
        <v>23</v>
      </c>
      <c r="C6" t="s">
        <v>34</v>
      </c>
      <c r="D6" t="s">
        <v>33</v>
      </c>
      <c r="E6" t="s">
        <v>20</v>
      </c>
    </row>
    <row r="7" spans="1:5" x14ac:dyDescent="0.25">
      <c r="A7" t="s">
        <v>32</v>
      </c>
      <c r="B7" t="s">
        <v>23</v>
      </c>
    </row>
    <row r="8" spans="1:5" x14ac:dyDescent="0.25">
      <c r="A8" t="s">
        <v>31</v>
      </c>
      <c r="B8" t="s">
        <v>29</v>
      </c>
      <c r="C8" t="s">
        <v>28</v>
      </c>
    </row>
    <row r="9" spans="1:5" x14ac:dyDescent="0.25">
      <c r="A9" t="s">
        <v>30</v>
      </c>
      <c r="B9" t="s">
        <v>29</v>
      </c>
      <c r="C9" t="s">
        <v>28</v>
      </c>
    </row>
    <row r="10" spans="1:5" x14ac:dyDescent="0.25">
      <c r="A10" t="s">
        <v>27</v>
      </c>
      <c r="B10" t="s">
        <v>23</v>
      </c>
    </row>
    <row r="11" spans="1:5" x14ac:dyDescent="0.25">
      <c r="A11" t="s">
        <v>26</v>
      </c>
      <c r="B11" t="s">
        <v>25</v>
      </c>
    </row>
    <row r="12" spans="1:5" x14ac:dyDescent="0.25">
      <c r="A12" t="s">
        <v>24</v>
      </c>
      <c r="B12" t="s">
        <v>23</v>
      </c>
    </row>
    <row r="17" spans="6:6" x14ac:dyDescent="0.25">
      <c r="F17" t="s">
        <v>22</v>
      </c>
    </row>
    <row r="18" spans="6:6" x14ac:dyDescent="0.25">
      <c r="F18" t="s">
        <v>21</v>
      </c>
    </row>
    <row r="19" spans="6:6" x14ac:dyDescent="0.25">
      <c r="F19" t="s">
        <v>20</v>
      </c>
    </row>
    <row r="20" spans="6:6" x14ac:dyDescent="0.25">
      <c r="F20" t="s">
        <v>19</v>
      </c>
    </row>
    <row r="21" spans="6:6" x14ac:dyDescent="0.25">
      <c r="F21" t="s">
        <v>18</v>
      </c>
    </row>
    <row r="22" spans="6:6" x14ac:dyDescent="0.25">
      <c r="F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Cylinder</vt:lpstr>
      <vt:lpstr>Method</vt:lpstr>
      <vt:lpstr>Family</vt:lpstr>
      <vt:lpstr>Cylinder!Print_Area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2013-05-07T00:46:52Z</dcterms:created>
  <dcterms:modified xsi:type="dcterms:W3CDTF">2013-05-12T04:50:30Z</dcterms:modified>
</cp:coreProperties>
</file>